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fc129ab43e87b2e/Documents/"/>
    </mc:Choice>
  </mc:AlternateContent>
  <xr:revisionPtr revIDLastSave="29" documentId="8_{62D05588-D7D1-475C-95AE-D9BC3AA72158}" xr6:coauthVersionLast="47" xr6:coauthVersionMax="47" xr10:uidLastSave="{D11C8A48-3C5B-4A46-92E1-5EB14F4C270C}"/>
  <bookViews>
    <workbookView xWindow="-108" yWindow="-108" windowWidth="23256" windowHeight="12456" activeTab="3" xr2:uid="{92276BE4-0238-4935-B215-B277431CAC0F}"/>
  </bookViews>
  <sheets>
    <sheet name=" Project _Break" sheetId="1" r:id="rId1"/>
    <sheet name="Project_Efficiency" sheetId="2" r:id="rId2"/>
    <sheet name="Project_OverAll Performance" sheetId="3" r:id="rId3"/>
    <sheet name="Project_Summary And Dashboard" sheetId="4" r:id="rId4"/>
  </sheets>
  <externalReferences>
    <externalReference r:id="rId5"/>
  </externalReferences>
  <definedNames>
    <definedName name="BData">' Project _Break'!$A:$I</definedName>
    <definedName name="EData">Project_Efficiency!$A:$Q</definedName>
    <definedName name="PData">'Project_OverAll Performance'!$A:$J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4" l="1"/>
  <c r="G9" i="4"/>
  <c r="G24" i="4"/>
  <c r="G25" i="4"/>
  <c r="G26" i="4"/>
  <c r="G30" i="4"/>
  <c r="G40" i="4"/>
  <c r="G41" i="4"/>
  <c r="G42" i="4"/>
  <c r="G46" i="4"/>
  <c r="G56" i="4"/>
  <c r="G57" i="4"/>
  <c r="G64" i="4"/>
  <c r="G65" i="4"/>
  <c r="G66" i="4"/>
  <c r="G68" i="4"/>
  <c r="G72" i="4"/>
  <c r="G73" i="4"/>
  <c r="G74" i="4"/>
  <c r="G78" i="4"/>
  <c r="G88" i="4"/>
  <c r="G89" i="4"/>
  <c r="G90" i="4"/>
  <c r="G94" i="4"/>
  <c r="G95" i="4"/>
  <c r="G96" i="4"/>
  <c r="G97" i="4"/>
  <c r="G98" i="4"/>
  <c r="G100" i="4"/>
  <c r="G104" i="4"/>
  <c r="G105" i="4"/>
  <c r="G106" i="4"/>
  <c r="G113" i="4"/>
  <c r="G120" i="4"/>
  <c r="G121" i="4"/>
  <c r="G122" i="4"/>
  <c r="G126" i="4"/>
  <c r="G127" i="4"/>
  <c r="G128" i="4"/>
  <c r="G129" i="4"/>
  <c r="G130" i="4"/>
  <c r="G136" i="4"/>
  <c r="G137" i="4"/>
  <c r="G142" i="4"/>
  <c r="G143" i="4"/>
  <c r="G144" i="4"/>
  <c r="F7" i="4"/>
  <c r="F8" i="4"/>
  <c r="F9" i="4"/>
  <c r="F15" i="4"/>
  <c r="F20" i="4"/>
  <c r="F21" i="4"/>
  <c r="F22" i="4"/>
  <c r="F23" i="4"/>
  <c r="F24" i="4"/>
  <c r="F25" i="4"/>
  <c r="F26" i="4"/>
  <c r="F29" i="4"/>
  <c r="F39" i="4"/>
  <c r="F40" i="4"/>
  <c r="F41" i="4"/>
  <c r="F42" i="4"/>
  <c r="F45" i="4"/>
  <c r="F47" i="4"/>
  <c r="F52" i="4"/>
  <c r="F53" i="4"/>
  <c r="F54" i="4"/>
  <c r="F55" i="4"/>
  <c r="F56" i="4"/>
  <c r="F57" i="4"/>
  <c r="F63" i="4"/>
  <c r="F71" i="4"/>
  <c r="F72" i="4"/>
  <c r="F73" i="4"/>
  <c r="F74" i="4"/>
  <c r="F87" i="4"/>
  <c r="F88" i="4"/>
  <c r="F89" i="4"/>
  <c r="F90" i="4"/>
  <c r="F93" i="4"/>
  <c r="F95" i="4"/>
  <c r="F103" i="4"/>
  <c r="F104" i="4"/>
  <c r="F105" i="4"/>
  <c r="F109" i="4"/>
  <c r="F111" i="4"/>
  <c r="F116" i="4"/>
  <c r="F117" i="4"/>
  <c r="F119" i="4"/>
  <c r="F120" i="4"/>
  <c r="F121" i="4"/>
  <c r="F122" i="4"/>
  <c r="F135" i="4"/>
  <c r="F136" i="4"/>
  <c r="F137" i="4"/>
  <c r="F138" i="4"/>
  <c r="F141" i="4"/>
  <c r="F143" i="4"/>
  <c r="F148" i="4"/>
  <c r="F2" i="4"/>
  <c r="E7" i="4"/>
  <c r="E8" i="4"/>
  <c r="E9" i="4"/>
  <c r="E10" i="4"/>
  <c r="E15" i="4"/>
  <c r="E16" i="4"/>
  <c r="E17" i="4"/>
  <c r="E20" i="4"/>
  <c r="E21" i="4"/>
  <c r="E22" i="4"/>
  <c r="E23" i="4"/>
  <c r="E24" i="4"/>
  <c r="E25" i="4"/>
  <c r="E32" i="4"/>
  <c r="E39" i="4"/>
  <c r="E40" i="4"/>
  <c r="E41" i="4"/>
  <c r="E42" i="4"/>
  <c r="E47" i="4"/>
  <c r="E48" i="4"/>
  <c r="E49" i="4"/>
  <c r="E55" i="4"/>
  <c r="E56" i="4"/>
  <c r="E57" i="4"/>
  <c r="E58" i="4"/>
  <c r="E63" i="4"/>
  <c r="E71" i="4"/>
  <c r="E72" i="4"/>
  <c r="E73" i="4"/>
  <c r="E84" i="4"/>
  <c r="E85" i="4"/>
  <c r="E86" i="4"/>
  <c r="E87" i="4"/>
  <c r="E88" i="4"/>
  <c r="E89" i="4"/>
  <c r="E90" i="4"/>
  <c r="E95" i="4"/>
  <c r="E103" i="4"/>
  <c r="E104" i="4"/>
  <c r="E105" i="4"/>
  <c r="E106" i="4"/>
  <c r="E111" i="4"/>
  <c r="E112" i="4"/>
  <c r="E113" i="4"/>
  <c r="E116" i="4"/>
  <c r="E117" i="4"/>
  <c r="E118" i="4"/>
  <c r="E119" i="4"/>
  <c r="E120" i="4"/>
  <c r="E121" i="4"/>
  <c r="E122" i="4"/>
  <c r="E135" i="4"/>
  <c r="E136" i="4"/>
  <c r="E137" i="4"/>
  <c r="E138" i="4"/>
  <c r="E143" i="4"/>
  <c r="E144" i="4"/>
  <c r="E145" i="4"/>
  <c r="E148" i="4"/>
  <c r="E149" i="4"/>
  <c r="E150" i="4"/>
  <c r="E2" i="4"/>
  <c r="D9" i="4"/>
  <c r="D10" i="4"/>
  <c r="D15" i="4"/>
  <c r="D16" i="4"/>
  <c r="D17" i="4"/>
  <c r="D18" i="4"/>
  <c r="D19" i="4"/>
  <c r="D20" i="4"/>
  <c r="D21" i="4"/>
  <c r="D25" i="4"/>
  <c r="D26" i="4"/>
  <c r="D33" i="4"/>
  <c r="D34" i="4"/>
  <c r="D35" i="4"/>
  <c r="D36" i="4"/>
  <c r="D41" i="4"/>
  <c r="D42" i="4"/>
  <c r="D47" i="4"/>
  <c r="D48" i="4"/>
  <c r="D49" i="4"/>
  <c r="D57" i="4"/>
  <c r="D58" i="4"/>
  <c r="D63" i="4"/>
  <c r="D64" i="4"/>
  <c r="D65" i="4"/>
  <c r="D66" i="4"/>
  <c r="D73" i="4"/>
  <c r="D80" i="4"/>
  <c r="D81" i="4"/>
  <c r="D82" i="4"/>
  <c r="D83" i="4"/>
  <c r="D84" i="4"/>
  <c r="D85" i="4"/>
  <c r="D89" i="4"/>
  <c r="D90" i="4"/>
  <c r="D95" i="4"/>
  <c r="D96" i="4"/>
  <c r="D105" i="4"/>
  <c r="D106" i="4"/>
  <c r="D111" i="4"/>
  <c r="D112" i="4"/>
  <c r="D113" i="4"/>
  <c r="D114" i="4"/>
  <c r="D115" i="4"/>
  <c r="D116" i="4"/>
  <c r="D117" i="4"/>
  <c r="D121" i="4"/>
  <c r="D127" i="4"/>
  <c r="D128" i="4"/>
  <c r="D129" i="4"/>
  <c r="D137" i="4"/>
  <c r="D138" i="4"/>
  <c r="D143" i="4"/>
  <c r="D148" i="4"/>
  <c r="D149" i="4"/>
  <c r="C5" i="4"/>
  <c r="C6" i="4"/>
  <c r="C7" i="4"/>
  <c r="C8" i="4"/>
  <c r="C9" i="4"/>
  <c r="C10" i="4"/>
  <c r="C13" i="4"/>
  <c r="C14" i="4"/>
  <c r="C23" i="4"/>
  <c r="C24" i="4"/>
  <c r="C25" i="4"/>
  <c r="C26" i="4"/>
  <c r="C29" i="4"/>
  <c r="C30" i="4"/>
  <c r="C31" i="4"/>
  <c r="C32" i="4"/>
  <c r="C37" i="4"/>
  <c r="C39" i="4"/>
  <c r="C40" i="4"/>
  <c r="C41" i="4"/>
  <c r="C45" i="4"/>
  <c r="C46" i="4"/>
  <c r="C47" i="4"/>
  <c r="C48" i="4"/>
  <c r="C53" i="4"/>
  <c r="C54" i="4"/>
  <c r="C55" i="4"/>
  <c r="C56" i="4"/>
  <c r="C57" i="4"/>
  <c r="C58" i="4"/>
  <c r="C71" i="4"/>
  <c r="C72" i="4"/>
  <c r="C73" i="4"/>
  <c r="C74" i="4"/>
  <c r="C77" i="4"/>
  <c r="C78" i="4"/>
  <c r="C87" i="4"/>
  <c r="C88" i="4"/>
  <c r="C89" i="4"/>
  <c r="C90" i="4"/>
  <c r="C93" i="4"/>
  <c r="C94" i="4"/>
  <c r="C95" i="4"/>
  <c r="C96" i="4"/>
  <c r="C103" i="4"/>
  <c r="C104" i="4"/>
  <c r="C105" i="4"/>
  <c r="C109" i="4"/>
  <c r="C110" i="4"/>
  <c r="C111" i="4"/>
  <c r="C119" i="4"/>
  <c r="C120" i="4"/>
  <c r="C121" i="4"/>
  <c r="C122" i="4"/>
  <c r="C127" i="4"/>
  <c r="C128" i="4"/>
  <c r="C133" i="4"/>
  <c r="C134" i="4"/>
  <c r="C135" i="4"/>
  <c r="C136" i="4"/>
  <c r="C137" i="4"/>
  <c r="C138" i="4"/>
  <c r="C139" i="4"/>
  <c r="C142" i="4"/>
  <c r="C2" i="4"/>
  <c r="B7" i="4"/>
  <c r="B8" i="4"/>
  <c r="B9" i="4"/>
  <c r="B10" i="4"/>
  <c r="B15" i="4"/>
  <c r="B16" i="4"/>
  <c r="B17" i="4"/>
  <c r="B23" i="4"/>
  <c r="B24" i="4"/>
  <c r="B25" i="4"/>
  <c r="B26" i="4"/>
  <c r="B31" i="4"/>
  <c r="B32" i="4"/>
  <c r="B33" i="4"/>
  <c r="B34" i="4"/>
  <c r="B35" i="4"/>
  <c r="B37" i="4"/>
  <c r="B38" i="4"/>
  <c r="B39" i="4"/>
  <c r="B40" i="4"/>
  <c r="B41" i="4"/>
  <c r="B47" i="4"/>
  <c r="B55" i="4"/>
  <c r="B56" i="4"/>
  <c r="B57" i="4"/>
  <c r="B65" i="4"/>
  <c r="B66" i="4"/>
  <c r="B67" i="4"/>
  <c r="B68" i="4"/>
  <c r="B69" i="4"/>
  <c r="B70" i="4"/>
  <c r="B71" i="4"/>
  <c r="B72" i="4"/>
  <c r="B73" i="4"/>
  <c r="B74" i="4"/>
  <c r="B79" i="4"/>
  <c r="B87" i="4"/>
  <c r="B88" i="4"/>
  <c r="B89" i="4"/>
  <c r="B90" i="4"/>
  <c r="B95" i="4"/>
  <c r="B96" i="4"/>
  <c r="B103" i="4"/>
  <c r="B104" i="4"/>
  <c r="B105" i="4"/>
  <c r="B106" i="4"/>
  <c r="B111" i="4"/>
  <c r="B112" i="4"/>
  <c r="B113" i="4"/>
  <c r="B114" i="4"/>
  <c r="B115" i="4"/>
  <c r="B116" i="4"/>
  <c r="B117" i="4"/>
  <c r="B119" i="4"/>
  <c r="B120" i="4"/>
  <c r="B121" i="4"/>
  <c r="B122" i="4"/>
  <c r="B127" i="4"/>
  <c r="B128" i="4"/>
  <c r="B129" i="4"/>
  <c r="B130" i="4"/>
  <c r="B131" i="4"/>
  <c r="B132" i="4"/>
  <c r="B133" i="4"/>
  <c r="B134" i="4"/>
  <c r="B135" i="4"/>
  <c r="B136" i="4"/>
  <c r="B137" i="4"/>
  <c r="B144" i="4"/>
  <c r="B145" i="4"/>
  <c r="B2" i="4"/>
  <c r="A3" i="4"/>
  <c r="A4" i="4"/>
  <c r="A5" i="4"/>
  <c r="A6" i="4"/>
  <c r="F6" i="4" s="1"/>
  <c r="A7" i="4"/>
  <c r="D7" i="4" s="1"/>
  <c r="A8" i="4"/>
  <c r="D8" i="4" s="1"/>
  <c r="A9" i="4"/>
  <c r="A10" i="4"/>
  <c r="F10" i="4" s="1"/>
  <c r="A11" i="4"/>
  <c r="A12" i="4"/>
  <c r="D12" i="4" s="1"/>
  <c r="A13" i="4"/>
  <c r="A14" i="4"/>
  <c r="A15" i="4"/>
  <c r="C15" i="4" s="1"/>
  <c r="A16" i="4"/>
  <c r="G16" i="4" s="1"/>
  <c r="A17" i="4"/>
  <c r="A18" i="4"/>
  <c r="A19" i="4"/>
  <c r="A20" i="4"/>
  <c r="A21" i="4"/>
  <c r="A22" i="4"/>
  <c r="A23" i="4"/>
  <c r="D23" i="4" s="1"/>
  <c r="A24" i="4"/>
  <c r="D24" i="4" s="1"/>
  <c r="A25" i="4"/>
  <c r="A26" i="4"/>
  <c r="E26" i="4" s="1"/>
  <c r="A27" i="4"/>
  <c r="A28" i="4"/>
  <c r="F28" i="4" s="1"/>
  <c r="A29" i="4"/>
  <c r="A30" i="4"/>
  <c r="A31" i="4"/>
  <c r="A32" i="4"/>
  <c r="A33" i="4"/>
  <c r="A34" i="4"/>
  <c r="A35" i="4"/>
  <c r="A36" i="4"/>
  <c r="A37" i="4"/>
  <c r="A38" i="4"/>
  <c r="A39" i="4"/>
  <c r="D39" i="4" s="1"/>
  <c r="A40" i="4"/>
  <c r="D40" i="4" s="1"/>
  <c r="A41" i="4"/>
  <c r="A42" i="4"/>
  <c r="C42" i="4" s="1"/>
  <c r="A43" i="4"/>
  <c r="E43" i="4" s="1"/>
  <c r="A44" i="4"/>
  <c r="C44" i="4" s="1"/>
  <c r="A45" i="4"/>
  <c r="A46" i="4"/>
  <c r="A47" i="4"/>
  <c r="G47" i="4" s="1"/>
  <c r="A48" i="4"/>
  <c r="F48" i="4" s="1"/>
  <c r="A49" i="4"/>
  <c r="B49" i="4" s="1"/>
  <c r="A50" i="4"/>
  <c r="B50" i="4" s="1"/>
  <c r="A51" i="4"/>
  <c r="A52" i="4"/>
  <c r="A53" i="4"/>
  <c r="A54" i="4"/>
  <c r="A55" i="4"/>
  <c r="D55" i="4" s="1"/>
  <c r="A56" i="4"/>
  <c r="D56" i="4" s="1"/>
  <c r="A57" i="4"/>
  <c r="A58" i="4"/>
  <c r="B58" i="4" s="1"/>
  <c r="A59" i="4"/>
  <c r="A60" i="4"/>
  <c r="D60" i="4" s="1"/>
  <c r="A61" i="4"/>
  <c r="F61" i="4" s="1"/>
  <c r="A62" i="4"/>
  <c r="A63" i="4"/>
  <c r="A64" i="4"/>
  <c r="A65" i="4"/>
  <c r="A66" i="4"/>
  <c r="A67" i="4"/>
  <c r="A68" i="4"/>
  <c r="C68" i="4" s="1"/>
  <c r="A69" i="4"/>
  <c r="G69" i="4" s="1"/>
  <c r="A70" i="4"/>
  <c r="A71" i="4"/>
  <c r="D71" i="4" s="1"/>
  <c r="A72" i="4"/>
  <c r="D72" i="4" s="1"/>
  <c r="A73" i="4"/>
  <c r="A74" i="4"/>
  <c r="E74" i="4" s="1"/>
  <c r="A75" i="4"/>
  <c r="B75" i="4" s="1"/>
  <c r="A76" i="4"/>
  <c r="C76" i="4" s="1"/>
  <c r="A77" i="4"/>
  <c r="A78" i="4"/>
  <c r="A79" i="4"/>
  <c r="A80" i="4"/>
  <c r="A81" i="4"/>
  <c r="A82" i="4"/>
  <c r="A83" i="4"/>
  <c r="A84" i="4"/>
  <c r="A85" i="4"/>
  <c r="A86" i="4"/>
  <c r="B86" i="4" s="1"/>
  <c r="A87" i="4"/>
  <c r="D87" i="4" s="1"/>
  <c r="A88" i="4"/>
  <c r="D88" i="4" s="1"/>
  <c r="A89" i="4"/>
  <c r="A90" i="4"/>
  <c r="A91" i="4"/>
  <c r="E91" i="4" s="1"/>
  <c r="A92" i="4"/>
  <c r="C92" i="4" s="1"/>
  <c r="A93" i="4"/>
  <c r="A94" i="4"/>
  <c r="A95" i="4"/>
  <c r="A96" i="4"/>
  <c r="F96" i="4" s="1"/>
  <c r="A97" i="4"/>
  <c r="A98" i="4"/>
  <c r="B98" i="4" s="1"/>
  <c r="A99" i="4"/>
  <c r="A100" i="4"/>
  <c r="A101" i="4"/>
  <c r="A102" i="4"/>
  <c r="A103" i="4"/>
  <c r="D103" i="4" s="1"/>
  <c r="A104" i="4"/>
  <c r="D104" i="4" s="1"/>
  <c r="A105" i="4"/>
  <c r="A106" i="4"/>
  <c r="C106" i="4" s="1"/>
  <c r="A107" i="4"/>
  <c r="B107" i="4" s="1"/>
  <c r="A108" i="4"/>
  <c r="F108" i="4" s="1"/>
  <c r="A109" i="4"/>
  <c r="A110" i="4"/>
  <c r="A111" i="4"/>
  <c r="G111" i="4" s="1"/>
  <c r="A112" i="4"/>
  <c r="A113" i="4"/>
  <c r="A114" i="4"/>
  <c r="A115" i="4"/>
  <c r="A116" i="4"/>
  <c r="C116" i="4" s="1"/>
  <c r="A117" i="4"/>
  <c r="G117" i="4" s="1"/>
  <c r="A118" i="4"/>
  <c r="A119" i="4"/>
  <c r="D119" i="4" s="1"/>
  <c r="A120" i="4"/>
  <c r="D120" i="4" s="1"/>
  <c r="A121" i="4"/>
  <c r="A122" i="4"/>
  <c r="D122" i="4" s="1"/>
  <c r="A123" i="4"/>
  <c r="B123" i="4" s="1"/>
  <c r="A124" i="4"/>
  <c r="A125" i="4"/>
  <c r="A126" i="4"/>
  <c r="A127" i="4"/>
  <c r="F127" i="4" s="1"/>
  <c r="A128" i="4"/>
  <c r="A129" i="4"/>
  <c r="A130" i="4"/>
  <c r="A131" i="4"/>
  <c r="A132" i="4"/>
  <c r="A133" i="4"/>
  <c r="A134" i="4"/>
  <c r="F134" i="4" s="1"/>
  <c r="A135" i="4"/>
  <c r="D135" i="4" s="1"/>
  <c r="A136" i="4"/>
  <c r="D136" i="4" s="1"/>
  <c r="A137" i="4"/>
  <c r="A138" i="4"/>
  <c r="B138" i="4" s="1"/>
  <c r="A139" i="4"/>
  <c r="F139" i="4" s="1"/>
  <c r="A140" i="4"/>
  <c r="F140" i="4" s="1"/>
  <c r="A141" i="4"/>
  <c r="C141" i="4" s="1"/>
  <c r="A142" i="4"/>
  <c r="A143" i="4"/>
  <c r="A144" i="4"/>
  <c r="A145" i="4"/>
  <c r="A146" i="4"/>
  <c r="A147" i="4"/>
  <c r="A148" i="4"/>
  <c r="C148" i="4" s="1"/>
  <c r="A149" i="4"/>
  <c r="A150" i="4"/>
  <c r="A2" i="4"/>
  <c r="D2" i="4" s="1"/>
  <c r="E27" i="4" l="1"/>
  <c r="D27" i="4"/>
  <c r="E11" i="4"/>
  <c r="G11" i="4"/>
  <c r="F11" i="4"/>
  <c r="B43" i="4"/>
  <c r="D92" i="4"/>
  <c r="C108" i="4"/>
  <c r="D91" i="4"/>
  <c r="F76" i="4"/>
  <c r="B11" i="4"/>
  <c r="F75" i="4"/>
  <c r="D150" i="4"/>
  <c r="G150" i="4"/>
  <c r="F150" i="4"/>
  <c r="C150" i="4"/>
  <c r="D118" i="4"/>
  <c r="G118" i="4"/>
  <c r="B118" i="4"/>
  <c r="D102" i="4"/>
  <c r="G102" i="4"/>
  <c r="E102" i="4"/>
  <c r="B102" i="4"/>
  <c r="D70" i="4"/>
  <c r="G70" i="4"/>
  <c r="D54" i="4"/>
  <c r="G54" i="4"/>
  <c r="E54" i="4"/>
  <c r="D38" i="4"/>
  <c r="G38" i="4"/>
  <c r="F38" i="4"/>
  <c r="D22" i="4"/>
  <c r="G22" i="4"/>
  <c r="C22" i="4"/>
  <c r="B22" i="4"/>
  <c r="G27" i="4"/>
  <c r="G149" i="4"/>
  <c r="C149" i="4"/>
  <c r="G133" i="4"/>
  <c r="F133" i="4"/>
  <c r="E133" i="4"/>
  <c r="G101" i="4"/>
  <c r="B101" i="4"/>
  <c r="G85" i="4"/>
  <c r="C85" i="4"/>
  <c r="F85" i="4"/>
  <c r="G53" i="4"/>
  <c r="E53" i="4"/>
  <c r="D53" i="4"/>
  <c r="G37" i="4"/>
  <c r="F37" i="4"/>
  <c r="G21" i="4"/>
  <c r="C21" i="4"/>
  <c r="B21" i="4"/>
  <c r="G5" i="4"/>
  <c r="D5" i="4"/>
  <c r="E5" i="4"/>
  <c r="C75" i="4"/>
  <c r="F43" i="4"/>
  <c r="C100" i="4"/>
  <c r="B100" i="4"/>
  <c r="D100" i="4"/>
  <c r="C84" i="4"/>
  <c r="G84" i="4"/>
  <c r="F84" i="4"/>
  <c r="C52" i="4"/>
  <c r="E52" i="4"/>
  <c r="D52" i="4"/>
  <c r="C36" i="4"/>
  <c r="B36" i="4"/>
  <c r="F36" i="4"/>
  <c r="G36" i="4"/>
  <c r="C20" i="4"/>
  <c r="B20" i="4"/>
  <c r="C4" i="4"/>
  <c r="B4" i="4"/>
  <c r="G4" i="4"/>
  <c r="D4" i="4"/>
  <c r="E4" i="4"/>
  <c r="B85" i="4"/>
  <c r="G147" i="4"/>
  <c r="F147" i="4"/>
  <c r="C147" i="4"/>
  <c r="E147" i="4"/>
  <c r="D147" i="4"/>
  <c r="G131" i="4"/>
  <c r="F131" i="4"/>
  <c r="C131" i="4"/>
  <c r="E131" i="4"/>
  <c r="G115" i="4"/>
  <c r="F115" i="4"/>
  <c r="C115" i="4"/>
  <c r="E115" i="4"/>
  <c r="G99" i="4"/>
  <c r="F99" i="4"/>
  <c r="C99" i="4"/>
  <c r="E99" i="4"/>
  <c r="B99" i="4"/>
  <c r="D99" i="4"/>
  <c r="G67" i="4"/>
  <c r="F67" i="4"/>
  <c r="C67" i="4"/>
  <c r="E67" i="4"/>
  <c r="G51" i="4"/>
  <c r="F51" i="4"/>
  <c r="C51" i="4"/>
  <c r="E51" i="4"/>
  <c r="D51" i="4"/>
  <c r="G35" i="4"/>
  <c r="F35" i="4"/>
  <c r="C35" i="4"/>
  <c r="E35" i="4"/>
  <c r="G19" i="4"/>
  <c r="F19" i="4"/>
  <c r="C19" i="4"/>
  <c r="E19" i="4"/>
  <c r="B19" i="4"/>
  <c r="G3" i="4"/>
  <c r="F3" i="4"/>
  <c r="C3" i="4"/>
  <c r="E3" i="4"/>
  <c r="D3" i="4"/>
  <c r="B84" i="4"/>
  <c r="B54" i="4"/>
  <c r="C101" i="4"/>
  <c r="F101" i="4"/>
  <c r="F70" i="4"/>
  <c r="C146" i="4"/>
  <c r="F146" i="4"/>
  <c r="E146" i="4"/>
  <c r="D146" i="4"/>
  <c r="F123" i="4"/>
  <c r="F100" i="4"/>
  <c r="F69" i="4"/>
  <c r="G123" i="4"/>
  <c r="G91" i="4"/>
  <c r="G20" i="4"/>
  <c r="C145" i="4"/>
  <c r="F145" i="4"/>
  <c r="D145" i="4"/>
  <c r="C129" i="4"/>
  <c r="F129" i="4"/>
  <c r="E129" i="4"/>
  <c r="C113" i="4"/>
  <c r="F113" i="4"/>
  <c r="C97" i="4"/>
  <c r="F97" i="4"/>
  <c r="D97" i="4"/>
  <c r="C81" i="4"/>
  <c r="F81" i="4"/>
  <c r="G81" i="4"/>
  <c r="B81" i="4"/>
  <c r="E81" i="4"/>
  <c r="C65" i="4"/>
  <c r="F65" i="4"/>
  <c r="C33" i="4"/>
  <c r="F33" i="4"/>
  <c r="G33" i="4"/>
  <c r="C17" i="4"/>
  <c r="F17" i="4"/>
  <c r="B150" i="4"/>
  <c r="B3" i="4"/>
  <c r="E70" i="4"/>
  <c r="F68" i="4"/>
  <c r="F5" i="4"/>
  <c r="G52" i="4"/>
  <c r="F80" i="4"/>
  <c r="B80" i="4"/>
  <c r="C80" i="4"/>
  <c r="E80" i="4"/>
  <c r="F64" i="4"/>
  <c r="B64" i="4"/>
  <c r="F32" i="4"/>
  <c r="G32" i="4"/>
  <c r="D32" i="4"/>
  <c r="E101" i="4"/>
  <c r="E38" i="4"/>
  <c r="G17" i="4"/>
  <c r="C143" i="4"/>
  <c r="B143" i="4"/>
  <c r="C79" i="4"/>
  <c r="F79" i="4"/>
  <c r="E79" i="4"/>
  <c r="D79" i="4"/>
  <c r="G63" i="4"/>
  <c r="B63" i="4"/>
  <c r="G31" i="4"/>
  <c r="F31" i="4"/>
  <c r="D31" i="4"/>
  <c r="E31" i="4"/>
  <c r="B148" i="4"/>
  <c r="C118" i="4"/>
  <c r="E127" i="4"/>
  <c r="E100" i="4"/>
  <c r="E68" i="4"/>
  <c r="E37" i="4"/>
  <c r="F92" i="4"/>
  <c r="G148" i="4"/>
  <c r="G49" i="4"/>
  <c r="F142" i="4"/>
  <c r="E142" i="4"/>
  <c r="B142" i="4"/>
  <c r="D142" i="4"/>
  <c r="F126" i="4"/>
  <c r="E126" i="4"/>
  <c r="B126" i="4"/>
  <c r="D126" i="4"/>
  <c r="C126" i="4"/>
  <c r="F110" i="4"/>
  <c r="E110" i="4"/>
  <c r="B110" i="4"/>
  <c r="D110" i="4"/>
  <c r="G110" i="4"/>
  <c r="F94" i="4"/>
  <c r="E94" i="4"/>
  <c r="B94" i="4"/>
  <c r="D94" i="4"/>
  <c r="F78" i="4"/>
  <c r="E78" i="4"/>
  <c r="B78" i="4"/>
  <c r="D78" i="4"/>
  <c r="F62" i="4"/>
  <c r="E62" i="4"/>
  <c r="B62" i="4"/>
  <c r="D62" i="4"/>
  <c r="C62" i="4"/>
  <c r="G62" i="4"/>
  <c r="F46" i="4"/>
  <c r="E46" i="4"/>
  <c r="B46" i="4"/>
  <c r="D46" i="4"/>
  <c r="F30" i="4"/>
  <c r="E30" i="4"/>
  <c r="B30" i="4"/>
  <c r="D30" i="4"/>
  <c r="F14" i="4"/>
  <c r="E14" i="4"/>
  <c r="B14" i="4"/>
  <c r="D14" i="4"/>
  <c r="B147" i="4"/>
  <c r="C117" i="4"/>
  <c r="C64" i="4"/>
  <c r="C11" i="4"/>
  <c r="D131" i="4"/>
  <c r="D68" i="4"/>
  <c r="D11" i="4"/>
  <c r="E97" i="4"/>
  <c r="E65" i="4"/>
  <c r="E36" i="4"/>
  <c r="F91" i="4"/>
  <c r="F27" i="4"/>
  <c r="G146" i="4"/>
  <c r="G116" i="4"/>
  <c r="G80" i="4"/>
  <c r="G48" i="4"/>
  <c r="G15" i="4"/>
  <c r="B140" i="4"/>
  <c r="E140" i="4"/>
  <c r="G140" i="4"/>
  <c r="B124" i="4"/>
  <c r="E124" i="4"/>
  <c r="G124" i="4"/>
  <c r="F124" i="4"/>
  <c r="C124" i="4"/>
  <c r="D124" i="4"/>
  <c r="B108" i="4"/>
  <c r="E108" i="4"/>
  <c r="G108" i="4"/>
  <c r="B92" i="4"/>
  <c r="E92" i="4"/>
  <c r="G92" i="4"/>
  <c r="B76" i="4"/>
  <c r="E76" i="4"/>
  <c r="G76" i="4"/>
  <c r="D76" i="4"/>
  <c r="B60" i="4"/>
  <c r="E60" i="4"/>
  <c r="G60" i="4"/>
  <c r="C60" i="4"/>
  <c r="F60" i="4"/>
  <c r="B44" i="4"/>
  <c r="E44" i="4"/>
  <c r="G44" i="4"/>
  <c r="B28" i="4"/>
  <c r="E28" i="4"/>
  <c r="G28" i="4"/>
  <c r="D28" i="4"/>
  <c r="B12" i="4"/>
  <c r="E12" i="4"/>
  <c r="G12" i="4"/>
  <c r="F12" i="4"/>
  <c r="E139" i="4"/>
  <c r="G139" i="4"/>
  <c r="B139" i="4"/>
  <c r="E123" i="4"/>
  <c r="C123" i="4"/>
  <c r="D123" i="4"/>
  <c r="E107" i="4"/>
  <c r="G107" i="4"/>
  <c r="F107" i="4"/>
  <c r="E75" i="4"/>
  <c r="D75" i="4"/>
  <c r="E59" i="4"/>
  <c r="C59" i="4"/>
  <c r="B59" i="4"/>
  <c r="G59" i="4"/>
  <c r="F59" i="4"/>
  <c r="G75" i="4"/>
  <c r="G43" i="4"/>
  <c r="B91" i="4"/>
  <c r="C107" i="4"/>
  <c r="C28" i="4"/>
  <c r="D59" i="4"/>
  <c r="D134" i="4"/>
  <c r="G134" i="4"/>
  <c r="D86" i="4"/>
  <c r="G86" i="4"/>
  <c r="C86" i="4"/>
  <c r="F86" i="4"/>
  <c r="D6" i="4"/>
  <c r="G6" i="4"/>
  <c r="E6" i="4"/>
  <c r="C27" i="4"/>
  <c r="F44" i="4"/>
  <c r="C132" i="4"/>
  <c r="G132" i="4"/>
  <c r="E132" i="4"/>
  <c r="F132" i="4"/>
  <c r="C102" i="4"/>
  <c r="D140" i="4"/>
  <c r="F102" i="4"/>
  <c r="G83" i="4"/>
  <c r="F83" i="4"/>
  <c r="C83" i="4"/>
  <c r="E83" i="4"/>
  <c r="B83" i="4"/>
  <c r="B6" i="4"/>
  <c r="D139" i="4"/>
  <c r="C130" i="4"/>
  <c r="F130" i="4"/>
  <c r="E130" i="4"/>
  <c r="C114" i="4"/>
  <c r="F114" i="4"/>
  <c r="E114" i="4"/>
  <c r="C98" i="4"/>
  <c r="F98" i="4"/>
  <c r="E98" i="4"/>
  <c r="D98" i="4"/>
  <c r="C82" i="4"/>
  <c r="F82" i="4"/>
  <c r="E82" i="4"/>
  <c r="G82" i="4"/>
  <c r="B82" i="4"/>
  <c r="C66" i="4"/>
  <c r="F66" i="4"/>
  <c r="E66" i="4"/>
  <c r="C50" i="4"/>
  <c r="F50" i="4"/>
  <c r="E50" i="4"/>
  <c r="D50" i="4"/>
  <c r="C34" i="4"/>
  <c r="F34" i="4"/>
  <c r="E34" i="4"/>
  <c r="G34" i="4"/>
  <c r="C18" i="4"/>
  <c r="F18" i="4"/>
  <c r="E18" i="4"/>
  <c r="B18" i="4"/>
  <c r="B53" i="4"/>
  <c r="B5" i="4"/>
  <c r="C49" i="4"/>
  <c r="F49" i="4"/>
  <c r="B52" i="4"/>
  <c r="C43" i="4"/>
  <c r="D108" i="4"/>
  <c r="D44" i="4"/>
  <c r="G18" i="4"/>
  <c r="F144" i="4"/>
  <c r="D144" i="4"/>
  <c r="C144" i="4"/>
  <c r="F128" i="4"/>
  <c r="E128" i="4"/>
  <c r="F112" i="4"/>
  <c r="G112" i="4"/>
  <c r="F16" i="4"/>
  <c r="C16" i="4"/>
  <c r="B149" i="4"/>
  <c r="B51" i="4"/>
  <c r="B27" i="4"/>
  <c r="C70" i="4"/>
  <c r="D133" i="4"/>
  <c r="D107" i="4"/>
  <c r="D43" i="4"/>
  <c r="E134" i="4"/>
  <c r="E69" i="4"/>
  <c r="F4" i="4"/>
  <c r="G50" i="4"/>
  <c r="C69" i="4"/>
  <c r="C12" i="4"/>
  <c r="D132" i="4"/>
  <c r="D69" i="4"/>
  <c r="B141" i="4"/>
  <c r="E141" i="4"/>
  <c r="D141" i="4"/>
  <c r="G141" i="4"/>
  <c r="B125" i="4"/>
  <c r="E125" i="4"/>
  <c r="D125" i="4"/>
  <c r="G125" i="4"/>
  <c r="F125" i="4"/>
  <c r="C125" i="4"/>
  <c r="B109" i="4"/>
  <c r="E109" i="4"/>
  <c r="D109" i="4"/>
  <c r="G109" i="4"/>
  <c r="B93" i="4"/>
  <c r="E93" i="4"/>
  <c r="D93" i="4"/>
  <c r="G93" i="4"/>
  <c r="B77" i="4"/>
  <c r="E77" i="4"/>
  <c r="D77" i="4"/>
  <c r="G77" i="4"/>
  <c r="F77" i="4"/>
  <c r="B61" i="4"/>
  <c r="E61" i="4"/>
  <c r="D61" i="4"/>
  <c r="G61" i="4"/>
  <c r="C61" i="4"/>
  <c r="B45" i="4"/>
  <c r="E45" i="4"/>
  <c r="D45" i="4"/>
  <c r="G45" i="4"/>
  <c r="B29" i="4"/>
  <c r="E29" i="4"/>
  <c r="D29" i="4"/>
  <c r="G29" i="4"/>
  <c r="B13" i="4"/>
  <c r="E13" i="4"/>
  <c r="D13" i="4"/>
  <c r="G13" i="4"/>
  <c r="F13" i="4"/>
  <c r="B146" i="4"/>
  <c r="B97" i="4"/>
  <c r="B48" i="4"/>
  <c r="C140" i="4"/>
  <c r="C112" i="4"/>
  <c r="C91" i="4"/>
  <c r="C63" i="4"/>
  <c r="C38" i="4"/>
  <c r="D130" i="4"/>
  <c r="D101" i="4"/>
  <c r="D67" i="4"/>
  <c r="D37" i="4"/>
  <c r="E96" i="4"/>
  <c r="E64" i="4"/>
  <c r="E33" i="4"/>
  <c r="F149" i="4"/>
  <c r="F118" i="4"/>
  <c r="G145" i="4"/>
  <c r="G114" i="4"/>
  <c r="G79" i="4"/>
  <c r="G14" i="4"/>
  <c r="F106" i="4"/>
  <c r="G138" i="4"/>
  <c r="G10" i="4"/>
  <c r="F58" i="4"/>
  <c r="B42" i="4"/>
  <c r="G58" i="4"/>
  <c r="D74" i="4"/>
  <c r="G2" i="4"/>
  <c r="G135" i="4"/>
  <c r="G119" i="4"/>
  <c r="G103" i="4"/>
  <c r="G87" i="4"/>
  <c r="G71" i="4"/>
  <c r="G55" i="4"/>
  <c r="G39" i="4"/>
  <c r="G23" i="4"/>
  <c r="G7" i="4"/>
  <c r="A1" i="4"/>
</calcChain>
</file>

<file path=xl/sharedStrings.xml><?xml version="1.0" encoding="utf-8"?>
<sst xmlns="http://schemas.openxmlformats.org/spreadsheetml/2006/main" count="2439" uniqueCount="1013">
  <si>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</si>
  <si>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</si>
  <si>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</si>
  <si>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</si>
  <si>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</si>
  <si>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</si>
  <si>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</si>
  <si>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</si>
  <si>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</si>
  <si>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</si>
  <si>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</si>
  <si>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</si>
  <si>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</si>
  <si>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</si>
  <si>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</si>
  <si>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</si>
  <si>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</si>
  <si>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</si>
  <si>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</si>
  <si>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</si>
  <si>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</si>
  <si>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</si>
  <si>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</si>
  <si>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</si>
  <si>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</si>
  <si>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</si>
  <si>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</si>
  <si>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</si>
  <si>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</si>
  <si>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</si>
  <si>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</si>
  <si>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</si>
  <si>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</si>
  <si>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</si>
  <si>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</si>
  <si>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</si>
  <si>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</si>
  <si>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</si>
  <si>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</si>
  <si>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</si>
  <si>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</si>
  <si>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</si>
  <si>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</si>
  <si>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</si>
  <si>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</si>
  <si>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</si>
  <si>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</si>
  <si>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</si>
  <si>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</si>
  <si>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</si>
  <si>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</si>
  <si>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</si>
  <si>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</si>
  <si>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</si>
  <si>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</si>
  <si>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</si>
  <si>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</si>
  <si>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</si>
  <si>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</si>
  <si>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</si>
  <si>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</si>
  <si>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</si>
  <si>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</si>
  <si>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</si>
  <si>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</si>
  <si>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</si>
  <si>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</si>
  <si>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</si>
  <si>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</si>
  <si>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</si>
  <si>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</si>
  <si>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</si>
  <si>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</si>
  <si>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</si>
  <si>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</si>
  <si>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</si>
  <si>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</si>
  <si>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</si>
  <si>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</si>
  <si>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</si>
  <si>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</si>
  <si>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</si>
  <si>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</si>
  <si>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</si>
  <si>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</si>
  <si>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</si>
  <si>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</si>
  <si>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</si>
  <si>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</si>
  <si>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</si>
  <si>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</si>
  <si>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</si>
  <si>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</si>
  <si>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</si>
  <si>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</si>
  <si>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</si>
  <si>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</si>
  <si>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</si>
  <si>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</si>
  <si>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</si>
  <si>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</si>
  <si>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</si>
  <si>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</si>
  <si>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</si>
  <si>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</si>
  <si>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</si>
  <si>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</si>
  <si>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</si>
  <si>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</si>
  <si>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</si>
  <si>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</si>
  <si>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</si>
  <si>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</si>
  <si>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</si>
  <si>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</si>
  <si>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</si>
  <si>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</si>
  <si>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</si>
  <si>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</si>
  <si>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</si>
  <si>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</si>
  <si>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</si>
  <si>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</si>
  <si>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</si>
  <si>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</si>
  <si>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</si>
  <si>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</si>
  <si>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</si>
  <si>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</si>
  <si>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</si>
  <si>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</si>
  <si>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</si>
  <si>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</si>
  <si>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</si>
  <si>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</si>
  <si>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</si>
  <si>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</si>
  <si>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</si>
  <si>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</si>
  <si>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</si>
  <si>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</si>
  <si>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</si>
  <si>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</si>
  <si>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</si>
  <si>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</si>
  <si>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</si>
  <si>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</si>
  <si>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</si>
  <si>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</si>
  <si>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</si>
  <si>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</si>
  <si>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</si>
  <si>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</si>
  <si>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</si>
  <si>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</si>
  <si>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</si>
  <si>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</si>
  <si>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</si>
  <si>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</si>
  <si>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</si>
  <si>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</si>
  <si>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</si>
  <si>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</si>
  <si>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</si>
  <si>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</si>
  <si>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</si>
  <si>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</si>
  <si>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</si>
  <si>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</si>
  <si>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</si>
  <si>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</si>
  <si>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</si>
  <si>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</si>
  <si>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</si>
  <si>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</si>
  <si>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</si>
  <si>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</si>
  <si>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</si>
  <si>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</si>
  <si>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</si>
  <si>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</si>
  <si>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</si>
  <si>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</si>
  <si>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</si>
  <si>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</si>
  <si>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</si>
  <si>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</si>
  <si>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</si>
  <si>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</si>
  <si>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</si>
  <si>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</si>
  <si>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</si>
  <si>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</si>
  <si>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</si>
  <si>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</si>
  <si>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</si>
  <si>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</si>
  <si>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</si>
  <si>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</si>
  <si>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</si>
  <si>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</si>
  <si>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</si>
  <si>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</si>
  <si>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</si>
  <si>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</si>
  <si>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</si>
  <si>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</si>
  <si>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</si>
  <si>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</si>
  <si>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</si>
  <si>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</si>
  <si>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</si>
  <si>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</si>
  <si>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</si>
  <si>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</si>
  <si>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</si>
  <si>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</si>
  <si>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</si>
  <si>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</si>
  <si>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</si>
  <si>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</si>
  <si>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</si>
  <si>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</si>
  <si>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</si>
  <si>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</si>
  <si>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</si>
  <si>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</si>
  <si>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</si>
  <si>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</si>
  <si>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</si>
  <si>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</si>
  <si>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</si>
  <si>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</si>
  <si>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</si>
  <si>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</si>
  <si>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</si>
  <si>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</si>
  <si>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</si>
  <si>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</si>
  <si>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</si>
  <si>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</si>
  <si>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</si>
  <si>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</si>
  <si>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</si>
  <si>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</si>
  <si>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</si>
  <si>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</si>
  <si>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</si>
  <si>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</si>
  <si>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</si>
  <si>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</si>
  <si>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</si>
  <si>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</si>
  <si>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</si>
  <si>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</si>
  <si>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</si>
  <si>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</si>
  <si>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</si>
  <si>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</si>
  <si>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</si>
  <si>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</si>
  <si>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</si>
  <si>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</si>
  <si>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</si>
  <si>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</si>
  <si>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</si>
  <si>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</si>
  <si>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</si>
  <si>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</si>
  <si>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</si>
  <si>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</si>
  <si>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</si>
  <si>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</si>
  <si>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</si>
  <si>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</si>
  <si>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</si>
  <si>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</si>
  <si>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</si>
  <si>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</si>
  <si>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</si>
  <si>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</si>
  <si>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</si>
  <si>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</si>
  <si>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</si>
  <si>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</si>
  <si>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</si>
  <si>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</si>
  <si>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</si>
  <si>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</si>
  <si>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</si>
  <si>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</si>
  <si>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</si>
  <si>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</si>
  <si>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</si>
  <si>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</si>
  <si>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</si>
  <si>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</si>
  <si>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</si>
  <si>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</si>
  <si>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</si>
  <si>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</si>
  <si>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</si>
  <si>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</si>
  <si>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</si>
  <si>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</si>
  <si>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</si>
  <si>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</si>
  <si>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</si>
  <si>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</si>
  <si>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</si>
  <si>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</si>
  <si>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</si>
  <si>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</si>
  <si>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</si>
  <si>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</si>
  <si>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</si>
  <si>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</si>
  <si>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</si>
  <si>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</si>
  <si>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</si>
  <si>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</si>
  <si>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</si>
  <si>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</si>
  <si>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</si>
  <si>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</si>
  <si>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</si>
  <si>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</si>
  <si>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</si>
  <si>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</si>
  <si>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</si>
  <si>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</si>
  <si>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</si>
  <si>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</si>
  <si>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</si>
  <si>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</si>
  <si>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</si>
  <si>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</si>
  <si>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</si>
  <si>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</si>
  <si>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</si>
  <si>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</si>
  <si>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</si>
  <si>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</si>
  <si>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</si>
  <si>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</si>
  <si>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</si>
  <si>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</si>
  <si>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</si>
  <si>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</si>
  <si>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</si>
  <si>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</si>
  <si>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</si>
  <si>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</si>
  <si>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</si>
  <si>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</si>
  <si>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</si>
  <si>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</si>
  <si>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</si>
  <si>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</si>
  <si>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</si>
  <si>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</si>
  <si>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</si>
  <si>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</si>
  <si>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</si>
  <si>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</si>
  <si>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</si>
  <si>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</si>
  <si>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</si>
  <si>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</si>
  <si>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</si>
  <si>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</si>
  <si>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</si>
  <si>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</si>
  <si>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</si>
  <si>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</si>
  <si>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</si>
  <si>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</si>
  <si>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</si>
  <si>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</si>
  <si>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</si>
  <si>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</si>
  <si>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</si>
  <si>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</si>
  <si>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</si>
  <si>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</si>
  <si>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</si>
  <si>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</si>
  <si>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</si>
  <si>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</si>
  <si>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</si>
  <si>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</si>
  <si>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</si>
  <si>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</si>
  <si>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</si>
  <si>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</si>
  <si>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</si>
  <si>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</si>
  <si>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</si>
  <si>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</si>
  <si>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</si>
  <si>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</si>
  <si>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</si>
  <si>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</si>
  <si>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</si>
  <si>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</si>
  <si>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</si>
  <si>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</si>
  <si>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</si>
  <si>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</si>
  <si>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</si>
  <si>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</si>
  <si>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</si>
  <si>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</si>
  <si>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</si>
  <si>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</si>
  <si>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</si>
  <si>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</si>
  <si>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</si>
  <si>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</si>
  <si>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</si>
  <si>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</si>
  <si>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</si>
  <si>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</si>
  <si>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</si>
  <si>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</si>
  <si>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</si>
  <si>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</si>
  <si>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</si>
  <si>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</si>
  <si>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</si>
  <si>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</si>
  <si>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</si>
  <si>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</si>
  <si>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</si>
  <si>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</si>
  <si>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</si>
  <si>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</si>
  <si>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</si>
  <si>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</si>
  <si>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</si>
  <si>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</si>
  <si>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</si>
  <si>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</si>
  <si>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</si>
  <si>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</si>
  <si>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</si>
  <si>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</si>
  <si>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</si>
  <si>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</si>
  <si>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</si>
  <si>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</si>
  <si>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</si>
  <si>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</si>
  <si>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</si>
  <si>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</si>
  <si>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</si>
  <si>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</si>
  <si>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</si>
  <si>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</si>
  <si>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</si>
  <si>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</si>
  <si>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</si>
  <si>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</si>
  <si>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</si>
  <si>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</si>
  <si>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</si>
  <si>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</si>
  <si>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</si>
  <si>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</si>
  <si>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</si>
  <si>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</si>
  <si>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</si>
  <si>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</si>
  <si>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</si>
  <si>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</si>
  <si>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</si>
  <si>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</si>
  <si>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</si>
  <si>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</si>
  <si>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</si>
  <si>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</si>
  <si>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</si>
  <si>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</si>
  <si>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</si>
  <si>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</si>
  <si>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</si>
  <si>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</si>
  <si>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</si>
  <si>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</si>
  <si>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</si>
  <si>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</si>
  <si>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</si>
  <si>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</si>
  <si>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</si>
  <si>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</si>
  <si>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</si>
  <si>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</si>
  <si>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</si>
  <si>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</si>
  <si>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</si>
  <si>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</si>
  <si>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</si>
  <si>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</si>
  <si>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</si>
  <si>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</si>
  <si>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</si>
  <si>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</si>
  <si>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</si>
  <si>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</si>
  <si>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</si>
  <si>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</si>
  <si>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</si>
  <si>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</si>
  <si>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</si>
  <si>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</si>
  <si>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</si>
  <si>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</si>
  <si>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</si>
  <si>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</si>
  <si>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</si>
  <si>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</si>
  <si>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</si>
  <si>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</si>
  <si>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</si>
  <si>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</si>
  <si>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</si>
  <si>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</si>
  <si>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</si>
  <si>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</si>
  <si>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</si>
  <si>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</si>
  <si>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</si>
  <si>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</si>
  <si>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</si>
  <si>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</si>
  <si>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</si>
  <si>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</si>
  <si>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</si>
  <si>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</si>
  <si>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</si>
  <si>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</si>
  <si>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</si>
  <si>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</si>
  <si>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</si>
  <si>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</si>
  <si>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</si>
  <si>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</si>
  <si>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</si>
  <si>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</si>
  <si>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</si>
  <si>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</si>
  <si>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</si>
  <si>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</si>
  <si>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</si>
  <si>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</si>
  <si>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</si>
  <si>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</si>
  <si>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</si>
  <si>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</si>
  <si>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</si>
  <si>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</si>
  <si>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</si>
  <si>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</si>
  <si>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</si>
  <si>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</si>
  <si>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</si>
  <si>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</si>
  <si>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</si>
  <si>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</si>
  <si>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</si>
  <si>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</si>
  <si>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</si>
  <si>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</si>
  <si>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</si>
  <si>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</si>
  <si>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</si>
  <si>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</si>
  <si>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</si>
  <si>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</si>
  <si>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</si>
  <si>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</si>
  <si>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</si>
  <si>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</si>
  <si>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</si>
  <si>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</si>
  <si>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</si>
  <si>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</si>
  <si>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</si>
  <si>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</si>
  <si>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</si>
  <si>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</si>
  <si>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</si>
  <si>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</si>
  <si>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</si>
  <si>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</si>
  <si>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</si>
  <si>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</si>
  <si>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</si>
  <si>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</si>
  <si>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</si>
  <si>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</si>
  <si>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</si>
  <si>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</si>
  <si>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</si>
  <si>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</si>
  <si>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</si>
  <si>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</si>
  <si>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</si>
  <si>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</si>
  <si>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</si>
  <si>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</si>
  <si>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</si>
  <si>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</si>
  <si>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</si>
  <si>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</si>
  <si>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</si>
  <si>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</si>
  <si>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</si>
  <si>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</si>
  <si>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</si>
  <si>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</si>
  <si>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</si>
  <si>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</si>
  <si>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</si>
  <si>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</si>
  <si>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</si>
  <si>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</si>
  <si>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</si>
  <si>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</si>
  <si>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</si>
  <si>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</si>
  <si>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</si>
  <si>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</si>
  <si>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</si>
  <si>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</si>
  <si>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</si>
  <si>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</si>
  <si>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</si>
  <si>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</si>
  <si>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</si>
  <si>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</si>
  <si>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</si>
  <si>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</si>
  <si>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</si>
  <si>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</si>
  <si>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</si>
  <si>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</si>
  <si>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</si>
  <si>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</si>
  <si>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</si>
  <si>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</si>
  <si>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</si>
  <si>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</si>
  <si>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</si>
  <si>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</si>
  <si>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</si>
  <si>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</si>
  <si>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</si>
  <si>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</si>
  <si>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</si>
  <si>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</si>
  <si>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</si>
  <si>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</si>
  <si>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</si>
  <si>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</si>
  <si>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</si>
  <si>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</si>
  <si>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</si>
  <si>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</si>
  <si>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</si>
  <si>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</si>
  <si>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</si>
  <si>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</si>
  <si>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</si>
  <si>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</si>
  <si>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</si>
  <si>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</si>
  <si>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</si>
  <si>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</si>
  <si>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</si>
  <si>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</si>
  <si>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</si>
  <si>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</si>
  <si>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</si>
  <si>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</si>
  <si>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</si>
  <si>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</si>
  <si>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</si>
  <si>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</si>
  <si>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</si>
  <si>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</si>
  <si>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</si>
  <si>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</si>
  <si>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</si>
  <si>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</si>
  <si>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</si>
  <si>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</si>
  <si>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</si>
  <si>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</si>
  <si>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</si>
  <si>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</si>
  <si>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</si>
  <si>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</si>
  <si>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</si>
  <si>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</si>
  <si>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</si>
  <si>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</si>
  <si>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</si>
  <si>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</si>
  <si>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</si>
  <si>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</si>
  <si>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</si>
  <si>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</si>
  <si>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</si>
  <si>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</si>
  <si>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</si>
  <si>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</si>
  <si>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</si>
  <si>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</si>
  <si>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</si>
  <si>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</si>
  <si>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</si>
  <si>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</si>
  <si>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</si>
  <si>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</si>
  <si>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</si>
  <si>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</si>
  <si>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</si>
  <si>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</si>
  <si>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</si>
  <si>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</si>
  <si>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</si>
  <si>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</si>
  <si>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</si>
  <si>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</si>
  <si>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</si>
  <si>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</si>
  <si>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</si>
  <si>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</si>
  <si>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</si>
  <si>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</si>
  <si>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</si>
  <si>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</si>
  <si>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</si>
  <si>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</si>
  <si>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</si>
  <si>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</si>
  <si>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</si>
  <si>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</si>
  <si>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</si>
  <si>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</si>
  <si>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</si>
  <si>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</si>
  <si>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</si>
  <si>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</si>
  <si>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</si>
  <si>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</si>
  <si>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</si>
  <si>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</si>
  <si>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</si>
  <si>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</si>
  <si>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</si>
  <si>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</si>
  <si>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</si>
  <si>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</si>
  <si>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</si>
  <si>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</si>
  <si>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</si>
  <si>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</si>
  <si>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</si>
  <si>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</si>
  <si>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</si>
  <si>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</si>
  <si>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</si>
  <si>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</si>
  <si>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</si>
  <si>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</si>
  <si>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</si>
  <si>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</si>
  <si>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</si>
  <si>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</si>
  <si>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</si>
  <si>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</si>
  <si>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</si>
  <si>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</si>
  <si>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</si>
  <si>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</si>
  <si>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</si>
  <si>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</si>
  <si>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</si>
  <si>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</si>
  <si>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</si>
  <si>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</si>
  <si>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</si>
  <si>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</si>
  <si>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</si>
  <si>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</si>
  <si>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</si>
  <si>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</si>
  <si>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</si>
  <si>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</si>
  <si>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</si>
  <si>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</si>
  <si>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</si>
  <si>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</si>
  <si>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</si>
  <si>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</si>
  <si>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</si>
  <si>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</si>
  <si>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</si>
  <si>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</si>
  <si>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</si>
  <si>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</si>
  <si>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</si>
  <si>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</si>
  <si>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</si>
  <si>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</si>
  <si>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</si>
  <si>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</si>
  <si>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</si>
  <si>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</si>
  <si>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</si>
  <si>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</si>
  <si>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</si>
  <si>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</si>
  <si>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</si>
  <si>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</si>
  <si>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</si>
  <si>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</si>
  <si>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</si>
  <si>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</si>
  <si>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</si>
  <si>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</si>
  <si>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</si>
  <si>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</si>
  <si>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</si>
  <si>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</si>
  <si>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</si>
  <si>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</si>
  <si>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</si>
  <si>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</si>
  <si>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</si>
  <si>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</si>
  <si>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</si>
  <si>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</si>
  <si>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</si>
  <si>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</si>
  <si>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</si>
  <si>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</si>
  <si>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</si>
  <si>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</si>
  <si>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</si>
  <si>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</si>
  <si>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</si>
  <si>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</si>
  <si>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</si>
  <si>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</si>
  <si>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</si>
  <si>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</si>
  <si>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</si>
  <si>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</si>
  <si>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</si>
  <si>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</si>
  <si>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</si>
  <si>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</si>
  <si>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</si>
  <si>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</si>
  <si>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</si>
  <si>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</si>
  <si>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</si>
  <si>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</si>
  <si>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</si>
  <si>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</si>
  <si>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</si>
  <si>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</si>
  <si>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</si>
  <si>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</si>
  <si>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</si>
  <si>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</si>
  <si>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</si>
  <si>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</si>
  <si>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</si>
  <si>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</si>
  <si>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</si>
  <si>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</si>
  <si>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</si>
  <si>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</si>
  <si>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</si>
  <si>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</si>
  <si>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</si>
  <si>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</si>
  <si>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</si>
  <si>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</si>
  <si>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</si>
  <si>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</si>
  <si>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</si>
  <si>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</si>
  <si>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</si>
  <si>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</si>
  <si>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</si>
  <si>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</si>
  <si>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</si>
  <si>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</si>
  <si>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</si>
  <si>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</si>
  <si>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</si>
  <si>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</si>
  <si>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</si>
  <si>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</si>
  <si>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</si>
  <si>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</si>
  <si>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</si>
  <si>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</si>
  <si>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</si>
  <si>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</si>
  <si>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</si>
  <si>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</si>
  <si>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</si>
  <si>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</si>
  <si>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</si>
  <si>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</si>
  <si>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</si>
  <si>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</si>
  <si>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</si>
  <si>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</si>
  <si>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</si>
  <si>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</si>
  <si>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</si>
  <si>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</si>
  <si>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</si>
  <si>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</si>
  <si>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</si>
  <si>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</si>
  <si>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</si>
  <si>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</si>
  <si>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</si>
  <si>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</si>
  <si>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</si>
  <si>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</si>
  <si>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</si>
  <si>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</si>
  <si>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</si>
  <si>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</si>
  <si>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</si>
  <si>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</si>
  <si>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</si>
  <si>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</si>
  <si>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</si>
  <si>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</si>
  <si>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</si>
  <si>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</si>
  <si>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</si>
  <si>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</si>
  <si>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</si>
  <si>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</si>
  <si>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</si>
  <si>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</si>
  <si>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</si>
  <si>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</si>
  <si>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</si>
  <si>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</si>
  <si>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</si>
  <si>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</si>
  <si>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</si>
  <si>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</si>
  <si>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</si>
  <si>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</si>
  <si>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</si>
  <si>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</si>
  <si>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</si>
  <si>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</si>
  <si>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</si>
  <si>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</si>
  <si>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</si>
  <si>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</si>
  <si>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</si>
  <si>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</si>
  <si>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</si>
  <si>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</si>
  <si>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</si>
  <si>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</si>
  <si>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</si>
  <si>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</si>
  <si>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</si>
  <si>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</si>
  <si>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</si>
  <si>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</si>
  <si>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</si>
  <si>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</si>
  <si>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</si>
  <si>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</si>
  <si>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</si>
  <si>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</si>
  <si>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</si>
  <si>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</si>
  <si>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</si>
  <si>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</si>
  <si>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</si>
  <si>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</si>
  <si>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</si>
  <si>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</si>
  <si>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</si>
  <si>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</si>
  <si>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</si>
  <si>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</si>
  <si>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</si>
  <si>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</si>
  <si>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</si>
  <si>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</si>
  <si>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Grand Total</t>
  </si>
  <si>
    <t>Total  Woking Hours</t>
  </si>
  <si>
    <t>REPORT</t>
  </si>
  <si>
    <t>Analysis of Working Hours of Employees in a Call Centre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</si>
</sst>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6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/>
    <xf numFmtId="0" fontId="8" fillId="2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using Macro  in MS Excel.xlsm]Project_Summary And Dashboard!PivotTable1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317108620465822"/>
          <c:y val="0.31686038221914536"/>
          <c:w val="0.68129179296578668"/>
          <c:h val="0.250058678417266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'Project_Summary And Dashboard'!$L$5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'Project_Summary And Dashboard'!$K$6:$K$11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'Project_Summary And Dashboard'!$L$6:$L$11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95-4615-BB28-8002E0CF5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6560943"/>
        <c:axId val="1256562383"/>
      </c:barChart>
      <c:catAx>
        <c:axId val="1256560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562383"/>
        <c:crosses val="autoZero"/>
        <c:auto val="1"/>
        <c:lblAlgn val="ctr"/>
        <c:lblOffset val="100"/>
        <c:noMultiLvlLbl val="0"/>
      </c:catAx>
      <c:valAx>
        <c:axId val="125656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560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M$3" max="15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912079</xdr:colOff>
      <xdr:row>1</xdr:row>
      <xdr:rowOff>26505</xdr:rowOff>
    </xdr:from>
    <xdr:to>
      <xdr:col>11</xdr:col>
      <xdr:colOff>543339</xdr:colOff>
      <xdr:row>2</xdr:row>
      <xdr:rowOff>159026</xdr:rowOff>
    </xdr:to>
    <xdr:sp macro="" textlink="$M$3">
      <xdr:nvSpPr>
        <xdr:cNvPr id="4" name="Rectangle 3">
          <a:extLst>
            <a:ext uri="{FF2B5EF4-FFF2-40B4-BE49-F238E27FC236}">
              <a16:creationId xmlns:a16="http://schemas.microsoft.com/office/drawing/2014/main" id="{62FDE312-CBBB-2C29-CECA-BF9711A02661}"/>
            </a:ext>
          </a:extLst>
        </xdr:cNvPr>
        <xdr:cNvSpPr/>
      </xdr:nvSpPr>
      <xdr:spPr>
        <a:xfrm>
          <a:off x="11951140" y="212035"/>
          <a:ext cx="545660" cy="318052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2B8911E-E06C-42B5-9727-24F9D99F2B6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5</a:t>
          </a:fld>
          <a:endParaRPr lang="en-IN" sz="1100"/>
        </a:p>
      </xdr:txBody>
    </xdr:sp>
    <xdr:clientData/>
  </xdr:twoCellAnchor>
  <xdr:twoCellAnchor>
    <xdr:from>
      <xdr:col>10</xdr:col>
      <xdr:colOff>59634</xdr:colOff>
      <xdr:row>1</xdr:row>
      <xdr:rowOff>72887</xdr:rowOff>
    </xdr:from>
    <xdr:to>
      <xdr:col>10</xdr:col>
      <xdr:colOff>371061</xdr:colOff>
      <xdr:row>2</xdr:row>
      <xdr:rowOff>159026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1B3BC1D-D3A2-4BB3-973D-BEB3DDB4D7EB}"/>
            </a:ext>
          </a:extLst>
        </xdr:cNvPr>
        <xdr:cNvSpPr/>
      </xdr:nvSpPr>
      <xdr:spPr>
        <a:xfrm>
          <a:off x="11098695" y="258417"/>
          <a:ext cx="311427" cy="27167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854764</xdr:colOff>
      <xdr:row>1</xdr:row>
      <xdr:rowOff>79514</xdr:rowOff>
    </xdr:from>
    <xdr:to>
      <xdr:col>11</xdr:col>
      <xdr:colOff>1199322</xdr:colOff>
      <xdr:row>2</xdr:row>
      <xdr:rowOff>152401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6B7B5CF8-8075-57EB-709C-4F3FE9679053}"/>
            </a:ext>
          </a:extLst>
        </xdr:cNvPr>
        <xdr:cNvSpPr/>
      </xdr:nvSpPr>
      <xdr:spPr>
        <a:xfrm>
          <a:off x="13232294" y="265044"/>
          <a:ext cx="344558" cy="258418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</xdr:row>
          <xdr:rowOff>22860</xdr:rowOff>
        </xdr:from>
        <xdr:to>
          <xdr:col>11</xdr:col>
          <xdr:colOff>533400</xdr:colOff>
          <xdr:row>2</xdr:row>
          <xdr:rowOff>144780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10</xdr:col>
      <xdr:colOff>483705</xdr:colOff>
      <xdr:row>1</xdr:row>
      <xdr:rowOff>26504</xdr:rowOff>
    </xdr:from>
    <xdr:to>
      <xdr:col>10</xdr:col>
      <xdr:colOff>768626</xdr:colOff>
      <xdr:row>3</xdr:row>
      <xdr:rowOff>19878</xdr:rowOff>
    </xdr:to>
    <xdr:pic macro="[0]!HideChart_8">
      <xdr:nvPicPr>
        <xdr:cNvPr id="6" name="Picture 5">
          <a:extLst>
            <a:ext uri="{FF2B5EF4-FFF2-40B4-BE49-F238E27FC236}">
              <a16:creationId xmlns:a16="http://schemas.microsoft.com/office/drawing/2014/main" id="{7D03455E-4D40-4AB5-DB26-DB2FEFD1E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2766" y="212034"/>
          <a:ext cx="284921" cy="364435"/>
        </a:xfrm>
        <a:prstGeom prst="rect">
          <a:avLst/>
        </a:prstGeom>
      </xdr:spPr>
    </xdr:pic>
    <xdr:clientData/>
  </xdr:twoCellAnchor>
  <xdr:twoCellAnchor editAs="oneCell">
    <xdr:from>
      <xdr:col>10</xdr:col>
      <xdr:colOff>390938</xdr:colOff>
      <xdr:row>1</xdr:row>
      <xdr:rowOff>46383</xdr:rowOff>
    </xdr:from>
    <xdr:to>
      <xdr:col>10</xdr:col>
      <xdr:colOff>702364</xdr:colOff>
      <xdr:row>2</xdr:row>
      <xdr:rowOff>152401</xdr:rowOff>
    </xdr:to>
    <xdr:pic macro="[0]!ShowChart_8">
      <xdr:nvPicPr>
        <xdr:cNvPr id="8" name="Picture 7" hidden="1">
          <a:extLst>
            <a:ext uri="{FF2B5EF4-FFF2-40B4-BE49-F238E27FC236}">
              <a16:creationId xmlns:a16="http://schemas.microsoft.com/office/drawing/2014/main" id="{6A0FFDDF-AE0E-B35C-C8BC-DF44D28BA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29999" y="231913"/>
          <a:ext cx="311426" cy="291548"/>
        </a:xfrm>
        <a:prstGeom prst="rect">
          <a:avLst/>
        </a:prstGeom>
      </xdr:spPr>
    </xdr:pic>
    <xdr:clientData/>
  </xdr:twoCellAnchor>
  <xdr:twoCellAnchor>
    <xdr:from>
      <xdr:col>12</xdr:col>
      <xdr:colOff>377687</xdr:colOff>
      <xdr:row>1</xdr:row>
      <xdr:rowOff>53010</xdr:rowOff>
    </xdr:from>
    <xdr:to>
      <xdr:col>19</xdr:col>
      <xdr:colOff>92766</xdr:colOff>
      <xdr:row>13</xdr:row>
      <xdr:rowOff>26504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BE64F71-189D-6D2B-96CB-EC5C2758C9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356" refreshedDate="46064.590132060184" createdVersion="8" refreshedVersion="8" minRefreshableVersion="3" recordCount="149" xr:uid="{84D6ED05-2709-4674-99E3-E8B976229A3A}">
  <cacheSource type="worksheet">
    <worksheetSource ref="A1:G150" sheet="Project_Summary And Dashboard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321497-3785-42E7-A1A2-7A7F4B6BCD7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5:L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6">
    <i>
      <x v="15"/>
    </i>
    <i>
      <x v="52"/>
    </i>
    <i>
      <x v="85"/>
    </i>
    <i>
      <x v="109"/>
    </i>
    <i>
      <x v="126"/>
    </i>
    <i t="grand">
      <x/>
    </i>
  </rowItems>
  <colItems count="1">
    <i/>
  </colItems>
  <dataFields count="1">
    <dataField name="Total  Woking Hours" fld="2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I1" sqref="I1"/>
    </sheetView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x14ac:dyDescent="0.3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 x14ac:dyDescent="0.3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 x14ac:dyDescent="0.3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 x14ac:dyDescent="0.3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 x14ac:dyDescent="0.3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 x14ac:dyDescent="0.3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 x14ac:dyDescent="0.3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 x14ac:dyDescent="0.3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 x14ac:dyDescent="0.3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 x14ac:dyDescent="0.3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 x14ac:dyDescent="0.3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 x14ac:dyDescent="0.3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 x14ac:dyDescent="0.3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 x14ac:dyDescent="0.3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 x14ac:dyDescent="0.3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 x14ac:dyDescent="0.3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 x14ac:dyDescent="0.3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 x14ac:dyDescent="0.3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 x14ac:dyDescent="0.3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 x14ac:dyDescent="0.3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 x14ac:dyDescent="0.3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 x14ac:dyDescent="0.3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 x14ac:dyDescent="0.3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 x14ac:dyDescent="0.3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 x14ac:dyDescent="0.3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 x14ac:dyDescent="0.3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 x14ac:dyDescent="0.3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 x14ac:dyDescent="0.3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 x14ac:dyDescent="0.3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 x14ac:dyDescent="0.3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 x14ac:dyDescent="0.3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 x14ac:dyDescent="0.3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 x14ac:dyDescent="0.3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 x14ac:dyDescent="0.3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 x14ac:dyDescent="0.3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 x14ac:dyDescent="0.3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 x14ac:dyDescent="0.3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 x14ac:dyDescent="0.3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 x14ac:dyDescent="0.3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 x14ac:dyDescent="0.3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 x14ac:dyDescent="0.3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 x14ac:dyDescent="0.3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 x14ac:dyDescent="0.3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 x14ac:dyDescent="0.3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 x14ac:dyDescent="0.3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 x14ac:dyDescent="0.3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 x14ac:dyDescent="0.3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 x14ac:dyDescent="0.3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 x14ac:dyDescent="0.3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 x14ac:dyDescent="0.3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 x14ac:dyDescent="0.3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 x14ac:dyDescent="0.3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 x14ac:dyDescent="0.3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 x14ac:dyDescent="0.3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 x14ac:dyDescent="0.3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 x14ac:dyDescent="0.3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 x14ac:dyDescent="0.3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 x14ac:dyDescent="0.3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 x14ac:dyDescent="0.3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 x14ac:dyDescent="0.3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 x14ac:dyDescent="0.3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 x14ac:dyDescent="0.3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 x14ac:dyDescent="0.3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 x14ac:dyDescent="0.3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 x14ac:dyDescent="0.3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 x14ac:dyDescent="0.3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 x14ac:dyDescent="0.3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 x14ac:dyDescent="0.3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 x14ac:dyDescent="0.3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 x14ac:dyDescent="0.3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 x14ac:dyDescent="0.3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 x14ac:dyDescent="0.3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 x14ac:dyDescent="0.3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 x14ac:dyDescent="0.3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 x14ac:dyDescent="0.3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 x14ac:dyDescent="0.3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 x14ac:dyDescent="0.3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 x14ac:dyDescent="0.3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 x14ac:dyDescent="0.3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 x14ac:dyDescent="0.3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 x14ac:dyDescent="0.3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 x14ac:dyDescent="0.3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 x14ac:dyDescent="0.3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 x14ac:dyDescent="0.3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 x14ac:dyDescent="0.3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 x14ac:dyDescent="0.3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 x14ac:dyDescent="0.3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 x14ac:dyDescent="0.3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 x14ac:dyDescent="0.3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 x14ac:dyDescent="0.3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 x14ac:dyDescent="0.3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 x14ac:dyDescent="0.3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 x14ac:dyDescent="0.3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 x14ac:dyDescent="0.3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 x14ac:dyDescent="0.3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 x14ac:dyDescent="0.3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 x14ac:dyDescent="0.3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 x14ac:dyDescent="0.3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 x14ac:dyDescent="0.3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 x14ac:dyDescent="0.3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 x14ac:dyDescent="0.3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 x14ac:dyDescent="0.3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 x14ac:dyDescent="0.3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 x14ac:dyDescent="0.3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 x14ac:dyDescent="0.3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 x14ac:dyDescent="0.3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 x14ac:dyDescent="0.3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 x14ac:dyDescent="0.3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 x14ac:dyDescent="0.3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 x14ac:dyDescent="0.3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 x14ac:dyDescent="0.3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 x14ac:dyDescent="0.3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 x14ac:dyDescent="0.3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 x14ac:dyDescent="0.3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 x14ac:dyDescent="0.3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 x14ac:dyDescent="0.3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 x14ac:dyDescent="0.3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 x14ac:dyDescent="0.3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 x14ac:dyDescent="0.3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 x14ac:dyDescent="0.3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 x14ac:dyDescent="0.3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 x14ac:dyDescent="0.3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 x14ac:dyDescent="0.3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 x14ac:dyDescent="0.3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 x14ac:dyDescent="0.3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 x14ac:dyDescent="0.3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 x14ac:dyDescent="0.3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 x14ac:dyDescent="0.3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 x14ac:dyDescent="0.3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 x14ac:dyDescent="0.3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 x14ac:dyDescent="0.3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 x14ac:dyDescent="0.3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 x14ac:dyDescent="0.3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 x14ac:dyDescent="0.3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 x14ac:dyDescent="0.3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 x14ac:dyDescent="0.3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 x14ac:dyDescent="0.3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 x14ac:dyDescent="0.3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 x14ac:dyDescent="0.3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 x14ac:dyDescent="0.3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 x14ac:dyDescent="0.3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 x14ac:dyDescent="0.3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 x14ac:dyDescent="0.3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 x14ac:dyDescent="0.3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 x14ac:dyDescent="0.3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 x14ac:dyDescent="0.3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 x14ac:dyDescent="0.3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 x14ac:dyDescent="0.3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 x14ac:dyDescent="0.3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F2" sqref="F2:F6"/>
    </sheetView>
  </sheetViews>
  <sheetFormatPr defaultRowHeight="14.4" x14ac:dyDescent="0.3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 x14ac:dyDescent="0.3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3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 x14ac:dyDescent="0.3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 x14ac:dyDescent="0.3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 x14ac:dyDescent="0.3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 x14ac:dyDescent="0.3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 x14ac:dyDescent="0.3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 x14ac:dyDescent="0.3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 x14ac:dyDescent="0.3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 x14ac:dyDescent="0.3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 x14ac:dyDescent="0.3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 x14ac:dyDescent="0.3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 x14ac:dyDescent="0.3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 x14ac:dyDescent="0.3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 x14ac:dyDescent="0.3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 x14ac:dyDescent="0.3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 x14ac:dyDescent="0.3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 x14ac:dyDescent="0.3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 x14ac:dyDescent="0.3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 x14ac:dyDescent="0.3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 x14ac:dyDescent="0.3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 x14ac:dyDescent="0.3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 x14ac:dyDescent="0.3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 x14ac:dyDescent="0.3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 x14ac:dyDescent="0.3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 x14ac:dyDescent="0.3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 x14ac:dyDescent="0.3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 x14ac:dyDescent="0.3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 x14ac:dyDescent="0.3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 x14ac:dyDescent="0.3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 x14ac:dyDescent="0.3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 x14ac:dyDescent="0.3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 x14ac:dyDescent="0.3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 x14ac:dyDescent="0.3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 x14ac:dyDescent="0.3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 x14ac:dyDescent="0.3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 x14ac:dyDescent="0.3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 x14ac:dyDescent="0.3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 x14ac:dyDescent="0.3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 x14ac:dyDescent="0.3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 x14ac:dyDescent="0.3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 x14ac:dyDescent="0.3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 x14ac:dyDescent="0.3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 x14ac:dyDescent="0.3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 x14ac:dyDescent="0.3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 x14ac:dyDescent="0.3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 x14ac:dyDescent="0.3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 x14ac:dyDescent="0.3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 x14ac:dyDescent="0.3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 x14ac:dyDescent="0.3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 x14ac:dyDescent="0.3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 x14ac:dyDescent="0.3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 x14ac:dyDescent="0.3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 x14ac:dyDescent="0.3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 x14ac:dyDescent="0.3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 x14ac:dyDescent="0.3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 x14ac:dyDescent="0.3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 x14ac:dyDescent="0.3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 x14ac:dyDescent="0.3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 x14ac:dyDescent="0.3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 x14ac:dyDescent="0.3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 x14ac:dyDescent="0.3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 x14ac:dyDescent="0.3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 x14ac:dyDescent="0.3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 x14ac:dyDescent="0.3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 x14ac:dyDescent="0.3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 x14ac:dyDescent="0.3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 x14ac:dyDescent="0.3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 x14ac:dyDescent="0.3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 x14ac:dyDescent="0.3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 x14ac:dyDescent="0.3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 x14ac:dyDescent="0.3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 x14ac:dyDescent="0.3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 x14ac:dyDescent="0.3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 x14ac:dyDescent="0.3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 x14ac:dyDescent="0.3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 x14ac:dyDescent="0.3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 x14ac:dyDescent="0.3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 x14ac:dyDescent="0.3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 x14ac:dyDescent="0.3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 x14ac:dyDescent="0.3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 x14ac:dyDescent="0.3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 x14ac:dyDescent="0.3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 x14ac:dyDescent="0.3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 x14ac:dyDescent="0.3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 x14ac:dyDescent="0.3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 x14ac:dyDescent="0.3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 x14ac:dyDescent="0.3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 x14ac:dyDescent="0.3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 x14ac:dyDescent="0.3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 x14ac:dyDescent="0.3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 x14ac:dyDescent="0.3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 x14ac:dyDescent="0.3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 x14ac:dyDescent="0.3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 x14ac:dyDescent="0.3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 x14ac:dyDescent="0.3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 x14ac:dyDescent="0.3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 x14ac:dyDescent="0.3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3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 x14ac:dyDescent="0.3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 x14ac:dyDescent="0.3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 x14ac:dyDescent="0.3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 x14ac:dyDescent="0.3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 x14ac:dyDescent="0.3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 x14ac:dyDescent="0.3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 x14ac:dyDescent="0.3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 x14ac:dyDescent="0.3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 x14ac:dyDescent="0.3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 x14ac:dyDescent="0.3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 x14ac:dyDescent="0.3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 x14ac:dyDescent="0.3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 x14ac:dyDescent="0.3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 x14ac:dyDescent="0.3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 x14ac:dyDescent="0.3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 x14ac:dyDescent="0.3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 x14ac:dyDescent="0.3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 x14ac:dyDescent="0.3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 x14ac:dyDescent="0.3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 x14ac:dyDescent="0.3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 x14ac:dyDescent="0.3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 x14ac:dyDescent="0.3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 x14ac:dyDescent="0.3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 x14ac:dyDescent="0.3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 x14ac:dyDescent="0.3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 x14ac:dyDescent="0.3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 x14ac:dyDescent="0.3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 x14ac:dyDescent="0.3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 x14ac:dyDescent="0.3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 x14ac:dyDescent="0.3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 x14ac:dyDescent="0.3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3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 x14ac:dyDescent="0.3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 x14ac:dyDescent="0.3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 x14ac:dyDescent="0.3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 x14ac:dyDescent="0.3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 x14ac:dyDescent="0.3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 x14ac:dyDescent="0.3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 x14ac:dyDescent="0.3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 x14ac:dyDescent="0.3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 x14ac:dyDescent="0.3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 x14ac:dyDescent="0.3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 x14ac:dyDescent="0.3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 x14ac:dyDescent="0.3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 x14ac:dyDescent="0.3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 x14ac:dyDescent="0.3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 x14ac:dyDescent="0.3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 x14ac:dyDescent="0.3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 x14ac:dyDescent="0.3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 x14ac:dyDescent="0.3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 x14ac:dyDescent="0.3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09" zoomScaleNormal="145" workbookViewId="0">
      <selection activeCell="H7" sqref="H7"/>
    </sheetView>
  </sheetViews>
  <sheetFormatPr defaultRowHeight="14.4" x14ac:dyDescent="0.3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 x14ac:dyDescent="0.3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3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3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3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3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3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3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3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3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3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3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3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3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3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3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3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3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3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3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3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3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3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3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3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3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3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3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3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3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3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3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3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3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3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3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3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3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3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3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3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3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3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3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3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3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3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3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3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3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3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3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3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3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3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3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3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3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3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3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3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3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3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3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3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3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3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3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3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3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3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3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3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3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3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3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3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3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3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3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3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3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3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3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3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3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3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3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3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3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3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3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3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3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3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3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3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3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3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3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3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3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3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3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3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3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3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3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3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3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3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3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3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3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3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3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3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3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3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3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3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3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3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3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3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3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3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3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3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3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3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3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3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3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3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3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3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3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3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3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3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3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3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3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3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3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3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3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3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3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3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U150"/>
  <sheetViews>
    <sheetView tabSelected="1" topLeftCell="F1" zoomScale="115" zoomScaleNormal="115" workbookViewId="0">
      <selection activeCell="G2" sqref="G2"/>
    </sheetView>
  </sheetViews>
  <sheetFormatPr defaultRowHeight="14.4" x14ac:dyDescent="0.3"/>
  <cols>
    <col min="1" max="1" width="29.33203125" customWidth="1"/>
    <col min="2" max="2" width="13.88671875" customWidth="1"/>
    <col min="3" max="3" width="29.88671875" customWidth="1"/>
    <col min="4" max="4" width="18.77734375" customWidth="1"/>
    <col min="5" max="5" width="17.6640625" customWidth="1"/>
    <col min="6" max="6" width="11.33203125" bestFit="1" customWidth="1"/>
    <col min="7" max="7" width="13.44140625" bestFit="1" customWidth="1"/>
    <col min="11" max="11" width="13.33203125" bestFit="1" customWidth="1"/>
    <col min="12" max="12" width="18.109375" bestFit="1" customWidth="1"/>
  </cols>
  <sheetData>
    <row r="1" spans="1:21" ht="23.4" x14ac:dyDescent="0.45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  <c r="J1" s="19" t="s">
        <v>1012</v>
      </c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x14ac:dyDescent="0.3">
      <c r="A2" t="str">
        <f>' Project _Break'!A2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TIMEVALUE(VLOOKUP(A2,EData,2,0))</f>
        <v>0.34424768518518517</v>
      </c>
      <c r="D2" s="12">
        <f t="shared" ref="D2:D33" si="1">TIMEVALUE(VLOOKUP(A2,EData,3,0))</f>
        <v>0.20693287037037036</v>
      </c>
      <c r="E2" s="12">
        <f t="shared" ref="E2:E33" si="2">TIMEVALUE(VLOOKUP(A2,BData,9,0))</f>
        <v>4.7708333333333332E-2</v>
      </c>
      <c r="F2">
        <f t="shared" ref="F2:F33" si="3">VLOOKUP(A2,PData,2,0)</f>
        <v>98</v>
      </c>
      <c r="G2" s="13">
        <f t="shared" ref="G2:G33" si="4">VLOOKUP(A2,EData,6,0)</f>
        <v>0.55697138822580095</v>
      </c>
      <c r="K2" s="18"/>
      <c r="L2" s="18"/>
    </row>
    <row r="3" spans="1:21" x14ac:dyDescent="0.3">
      <c r="A3" t="str">
        <f>' Project _Break'!A3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0.20733796296296297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  <c r="K3" s="18"/>
      <c r="L3" s="18"/>
      <c r="M3" s="16">
        <v>5</v>
      </c>
    </row>
    <row r="4" spans="1:21" ht="21" x14ac:dyDescent="0.4">
      <c r="A4" t="str">
        <f>' Project _Break'!A4</f>
        <v>Mum_Anamika Gupta (1008514)</v>
      </c>
      <c r="B4" t="str">
        <f t="shared" si="5"/>
        <v>Anamika Gupta</v>
      </c>
      <c r="C4" s="12">
        <f t="shared" si="0"/>
        <v>0.34510416666666666</v>
      </c>
      <c r="D4" s="12">
        <f t="shared" si="1"/>
        <v>0.20109953703703703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  <c r="K4" s="17" t="s">
        <v>1011</v>
      </c>
      <c r="L4" s="17"/>
    </row>
    <row r="5" spans="1:21" x14ac:dyDescent="0.3">
      <c r="A5" t="str">
        <f>' Project _Break'!A5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0.17884259259259258</v>
      </c>
      <c r="E5" s="12">
        <f t="shared" si="2"/>
        <v>9.6550925925925929E-2</v>
      </c>
      <c r="F5">
        <f t="shared" si="3"/>
        <v>29</v>
      </c>
      <c r="G5" s="13">
        <f t="shared" si="4"/>
        <v>0.47720778337188702</v>
      </c>
      <c r="K5" s="14" t="s">
        <v>1003</v>
      </c>
      <c r="L5" t="s">
        <v>1010</v>
      </c>
    </row>
    <row r="6" spans="1:21" x14ac:dyDescent="0.3">
      <c r="A6" t="str">
        <f>' Project _Break'!A6</f>
        <v>Mum_Anil Kumar (1008516)</v>
      </c>
      <c r="B6" t="str">
        <f t="shared" si="5"/>
        <v>Anil Kumar</v>
      </c>
      <c r="C6" s="12">
        <f t="shared" si="0"/>
        <v>0.30603009259259262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  <c r="K6" s="15" t="s">
        <v>1004</v>
      </c>
      <c r="L6" s="12">
        <v>1.3668402777777779</v>
      </c>
    </row>
    <row r="7" spans="1:21" x14ac:dyDescent="0.3">
      <c r="A7" t="str">
        <f>' Project _Break'!A7</f>
        <v>Mum_Anita Dixit (1008517)</v>
      </c>
      <c r="B7" t="str">
        <f t="shared" si="5"/>
        <v>Anita Dixit</v>
      </c>
      <c r="C7" s="12">
        <f t="shared" si="0"/>
        <v>0.2084375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  <c r="K7" s="15" t="s">
        <v>1005</v>
      </c>
      <c r="L7" s="12">
        <v>0.66396990740740747</v>
      </c>
    </row>
    <row r="8" spans="1:21" x14ac:dyDescent="0.3">
      <c r="A8" t="str">
        <f>' Project _Break'!A8</f>
        <v>Mum_Anita Ghore (1008518)</v>
      </c>
      <c r="B8" t="str">
        <f t="shared" si="5"/>
        <v>Anita Ghore</v>
      </c>
      <c r="C8" s="12">
        <f t="shared" si="0"/>
        <v>0.34488425925925925</v>
      </c>
      <c r="D8" s="12">
        <f t="shared" si="1"/>
        <v>0.17553240740740741</v>
      </c>
      <c r="E8" s="12">
        <f t="shared" si="2"/>
        <v>0.11229166666666666</v>
      </c>
      <c r="F8">
        <f t="shared" si="3"/>
        <v>26</v>
      </c>
      <c r="G8" s="13">
        <f t="shared" si="4"/>
        <v>0.49476474931203401</v>
      </c>
      <c r="K8" s="15" t="s">
        <v>1006</v>
      </c>
      <c r="L8" s="12">
        <v>0.67937500000000006</v>
      </c>
    </row>
    <row r="9" spans="1:21" x14ac:dyDescent="0.3">
      <c r="A9" t="str">
        <f>' Project _Break'!A9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  <c r="K9" s="15" t="s">
        <v>1007</v>
      </c>
      <c r="L9" s="12">
        <v>1.0142939814814815</v>
      </c>
    </row>
    <row r="10" spans="1:21" x14ac:dyDescent="0.3">
      <c r="A10" t="str">
        <f>' Project _Break'!A10</f>
        <v>Mum_Anjali Sahay (1008520)</v>
      </c>
      <c r="B10" t="str">
        <f t="shared" si="5"/>
        <v>Anjali Sahay</v>
      </c>
      <c r="C10" s="12">
        <f t="shared" si="0"/>
        <v>0.34256944444444443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  <c r="K10" s="15" t="s">
        <v>1008</v>
      </c>
      <c r="L10" s="12">
        <v>0.67259259259259263</v>
      </c>
    </row>
    <row r="11" spans="1:21" x14ac:dyDescent="0.3">
      <c r="A11" t="str">
        <f>' Project _Break'!A11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4.8576388888888891E-2</v>
      </c>
      <c r="F11">
        <f t="shared" si="3"/>
        <v>54</v>
      </c>
      <c r="G11" s="13">
        <f t="shared" si="4"/>
        <v>0.56868945774108703</v>
      </c>
      <c r="K11" s="15" t="s">
        <v>1009</v>
      </c>
      <c r="L11" s="12">
        <v>4.3970717592592594</v>
      </c>
    </row>
    <row r="12" spans="1:21" x14ac:dyDescent="0.3">
      <c r="A12" t="str">
        <f>' Project _Break'!A12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0.20518518518518519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21" x14ac:dyDescent="0.3">
      <c r="A13" t="str">
        <f>' Project _Break'!A13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21" x14ac:dyDescent="0.3">
      <c r="A14" t="str">
        <f>' Project _Break'!A14</f>
        <v>Mum_Anubhuti Gupta (1008524)</v>
      </c>
      <c r="B14" t="str">
        <f t="shared" si="5"/>
        <v>Anubhuti Gupta</v>
      </c>
      <c r="C14" s="12">
        <f t="shared" si="0"/>
        <v>0.34349537037037037</v>
      </c>
      <c r="D14" s="12">
        <f t="shared" si="1"/>
        <v>0.19699074074074074</v>
      </c>
      <c r="E14" s="12">
        <f t="shared" si="2"/>
        <v>8.7974537037037032E-2</v>
      </c>
      <c r="F14">
        <f t="shared" si="3"/>
        <v>85</v>
      </c>
      <c r="G14" s="13">
        <f t="shared" si="4"/>
        <v>0.50026955994339195</v>
      </c>
    </row>
    <row r="15" spans="1:21" x14ac:dyDescent="0.3">
      <c r="A15" t="str">
        <f>' Project _Break'!A15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21" x14ac:dyDescent="0.3">
      <c r="A16" t="str">
        <f>' Project _Break'!A16</f>
        <v>Mum_Ashish Kumar (1008526)</v>
      </c>
      <c r="B16" t="str">
        <f t="shared" si="5"/>
        <v>Ashish Kumar</v>
      </c>
      <c r="C16" s="12">
        <f t="shared" si="0"/>
        <v>0.34512731481481479</v>
      </c>
      <c r="D16" s="12">
        <f t="shared" si="1"/>
        <v>0.2066550925925926</v>
      </c>
      <c r="E16" s="12">
        <f t="shared" si="2"/>
        <v>5.3460648148148146E-2</v>
      </c>
      <c r="F16">
        <f t="shared" si="3"/>
        <v>83</v>
      </c>
      <c r="G16" s="13">
        <f t="shared" si="4"/>
        <v>0.510580502364264</v>
      </c>
    </row>
    <row r="17" spans="1:7" x14ac:dyDescent="0.3">
      <c r="A17" t="str">
        <f>' Project _Break'!A17</f>
        <v>Mum_Ashok Kumar (1008527)</v>
      </c>
      <c r="B17" t="str">
        <f t="shared" si="5"/>
        <v>Ashok Kumar</v>
      </c>
      <c r="C17" s="12">
        <f t="shared" si="0"/>
        <v>0.34531250000000002</v>
      </c>
      <c r="D17" s="12">
        <f t="shared" si="1"/>
        <v>0.17390046296296297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 x14ac:dyDescent="0.3">
      <c r="A18" t="str">
        <f>' Project _Break'!A18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 x14ac:dyDescent="0.3">
      <c r="A19" t="str">
        <f>' Project _Break'!A19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 x14ac:dyDescent="0.3">
      <c r="A20" t="str">
        <f>' Project _Break'!A20</f>
        <v>Hyd_Ashok Kumar (1008530)</v>
      </c>
      <c r="B20" t="str">
        <f t="shared" si="5"/>
        <v>Ashok Kumar</v>
      </c>
      <c r="C20" s="12">
        <f t="shared" si="0"/>
        <v>0.34810185185185183</v>
      </c>
      <c r="D20" s="12">
        <f t="shared" si="1"/>
        <v>0.18267361111111111</v>
      </c>
      <c r="E20" s="12">
        <f t="shared" si="2"/>
        <v>0.11122685185185185</v>
      </c>
      <c r="F20">
        <f t="shared" si="3"/>
        <v>79</v>
      </c>
      <c r="G20" s="13">
        <f t="shared" si="4"/>
        <v>0.46974331693044302</v>
      </c>
    </row>
    <row r="21" spans="1:7" x14ac:dyDescent="0.3">
      <c r="A21" t="str">
        <f>' Project _Break'!A21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5.1736111111111108E-2</v>
      </c>
      <c r="F21">
        <f t="shared" si="3"/>
        <v>78</v>
      </c>
      <c r="G21" s="13">
        <f t="shared" si="4"/>
        <v>0.57495313336904097</v>
      </c>
    </row>
    <row r="22" spans="1:7" x14ac:dyDescent="0.3">
      <c r="A22" t="str">
        <f>' Project _Break'!A22</f>
        <v>Hyd_Atul Kumar (1008532)</v>
      </c>
      <c r="B22" t="str">
        <f t="shared" si="5"/>
        <v>Atul Kumar</v>
      </c>
      <c r="C22" s="12">
        <f t="shared" si="0"/>
        <v>0.34283564814814815</v>
      </c>
      <c r="D22" s="12">
        <f t="shared" si="1"/>
        <v>0.20393518518518519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 x14ac:dyDescent="0.3">
      <c r="A23" t="str">
        <f>' Project _Break'!A23</f>
        <v>Hyd_Azam (1008533)</v>
      </c>
      <c r="B23" t="str">
        <f t="shared" si="5"/>
        <v>Azam</v>
      </c>
      <c r="C23" s="12">
        <f t="shared" si="0"/>
        <v>0.34553240740740743</v>
      </c>
      <c r="D23" s="12">
        <f t="shared" si="1"/>
        <v>0.20821759259259259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 x14ac:dyDescent="0.3">
      <c r="A24" t="str">
        <f>' Project _Break'!A24</f>
        <v>Hyd_Bhagwat Singh (1008534)</v>
      </c>
      <c r="B24" t="str">
        <f t="shared" si="5"/>
        <v>Bhagwat Singh</v>
      </c>
      <c r="C24" s="12">
        <f t="shared" si="0"/>
        <v>0.32064814814814813</v>
      </c>
      <c r="D24" s="12">
        <f t="shared" si="1"/>
        <v>0.17288194444444444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 x14ac:dyDescent="0.3">
      <c r="A25" t="str">
        <f>' Project _Break'!A25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9.1168981481481476E-2</v>
      </c>
      <c r="F25">
        <f t="shared" si="3"/>
        <v>74</v>
      </c>
      <c r="G25" s="13">
        <f t="shared" si="4"/>
        <v>0.478030199972793</v>
      </c>
    </row>
    <row r="26" spans="1:7" x14ac:dyDescent="0.3">
      <c r="A26" t="str">
        <f>' Project _Break'!A26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 x14ac:dyDescent="0.3">
      <c r="A27" t="str">
        <f>' Project _Break'!A27</f>
        <v>Hyd_Deepak Kumar (1008537)</v>
      </c>
      <c r="B27" t="str">
        <f t="shared" si="5"/>
        <v>Deepak Kumar</v>
      </c>
      <c r="C27" s="12">
        <f t="shared" si="0"/>
        <v>0.31663194444444442</v>
      </c>
      <c r="D27" s="12">
        <f t="shared" si="1"/>
        <v>0.21199074074074073</v>
      </c>
      <c r="E27" s="12">
        <f t="shared" si="2"/>
        <v>2.1180555555555557E-2</v>
      </c>
      <c r="F27">
        <f t="shared" si="3"/>
        <v>72</v>
      </c>
      <c r="G27" s="13">
        <f t="shared" si="4"/>
        <v>0.65029060203969702</v>
      </c>
    </row>
    <row r="28" spans="1:7" x14ac:dyDescent="0.3">
      <c r="A28" t="str">
        <f>' Project _Break'!A28</f>
        <v>Hyd_Deepika Nigam (1008538)</v>
      </c>
      <c r="B28" t="str">
        <f t="shared" si="5"/>
        <v>Deepika Nigam</v>
      </c>
      <c r="C28" s="12">
        <f t="shared" si="0"/>
        <v>0.34512731481481479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 x14ac:dyDescent="0.3">
      <c r="A29" t="str">
        <f>' Project _Break'!A29</f>
        <v>Hyd_Dinesh Kumar (1008539)</v>
      </c>
      <c r="B29" t="str">
        <f t="shared" si="5"/>
        <v>Dinesh Kumar</v>
      </c>
      <c r="C29" s="12">
        <f t="shared" si="0"/>
        <v>0.34297453703703706</v>
      </c>
      <c r="D29" s="12">
        <f t="shared" si="1"/>
        <v>0.21273148148148149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 x14ac:dyDescent="0.3">
      <c r="A30" t="str">
        <f>' Project _Break'!A30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 x14ac:dyDescent="0.3">
      <c r="A31" t="str">
        <f>' Project _Break'!A31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5.5787037037037038E-2</v>
      </c>
      <c r="F31">
        <f t="shared" si="3"/>
        <v>68</v>
      </c>
      <c r="G31" s="13">
        <f t="shared" si="4"/>
        <v>0.52954105200417201</v>
      </c>
    </row>
    <row r="32" spans="1:7" x14ac:dyDescent="0.3">
      <c r="A32" t="str">
        <f>' Project _Break'!A32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 x14ac:dyDescent="0.3">
      <c r="A33" t="str">
        <f>' Project _Break'!A33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8.9745370370370364E-2</v>
      </c>
      <c r="F33">
        <f t="shared" si="3"/>
        <v>66</v>
      </c>
      <c r="G33" s="13">
        <f t="shared" si="4"/>
        <v>0.49789043664612898</v>
      </c>
    </row>
    <row r="34" spans="1:7" x14ac:dyDescent="0.3">
      <c r="A34" t="str">
        <f>' Project _Break'!A34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0.20781250000000001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 x14ac:dyDescent="0.3">
      <c r="A35" t="str">
        <f>' Project _Break'!A35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 x14ac:dyDescent="0.3">
      <c r="A36" t="str">
        <f>' Project _Break'!A36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 x14ac:dyDescent="0.3">
      <c r="A37" t="str">
        <f>' Project _Break'!A37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3">
        <f t="shared" si="10"/>
        <v>0.47590463594126198</v>
      </c>
    </row>
    <row r="38" spans="1:7" x14ac:dyDescent="0.3">
      <c r="A38" t="str">
        <f>' Project _Break'!A38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 x14ac:dyDescent="0.3">
      <c r="A39" t="str">
        <f>' Project _Break'!A39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 x14ac:dyDescent="0.3">
      <c r="A40" t="str">
        <f>' Project _Break'!A40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3">
        <f t="shared" si="10"/>
        <v>0.565025741108382</v>
      </c>
    </row>
    <row r="41" spans="1:7" x14ac:dyDescent="0.3">
      <c r="A41" t="str">
        <f>' Project _Break'!A41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3">
        <f t="shared" si="10"/>
        <v>0.48579278917035301</v>
      </c>
    </row>
    <row r="42" spans="1:7" x14ac:dyDescent="0.3">
      <c r="A42" t="str">
        <f>' Project _Break'!A42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 x14ac:dyDescent="0.3">
      <c r="A43" t="str">
        <f>' Project _Break'!A43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 x14ac:dyDescent="0.3">
      <c r="A44" t="str">
        <f>' Project _Break'!A44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 x14ac:dyDescent="0.3">
      <c r="A45" t="str">
        <f>' Project _Break'!A45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 x14ac:dyDescent="0.3">
      <c r="A46" t="str">
        <f>' Project _Break'!A46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3">
        <f t="shared" si="10"/>
        <v>0.64717479317021698</v>
      </c>
    </row>
    <row r="47" spans="1:7" x14ac:dyDescent="0.3">
      <c r="A47" t="str">
        <f>' Project _Break'!A47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 x14ac:dyDescent="0.3">
      <c r="A48" t="str">
        <f>' Project _Break'!A48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 x14ac:dyDescent="0.3">
      <c r="A49" t="str">
        <f>' Project _Break'!A49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 x14ac:dyDescent="0.3">
      <c r="A50" t="str">
        <f>' Project _Break'!A50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3">
        <f t="shared" si="10"/>
        <v>0.55217497131332804</v>
      </c>
    </row>
    <row r="51" spans="1:7" x14ac:dyDescent="0.3">
      <c r="A51" t="str">
        <f>' Project _Break'!A51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 x14ac:dyDescent="0.3">
      <c r="A52" t="str">
        <f>' Project _Break'!A52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3">
        <f t="shared" si="10"/>
        <v>0.55534863732407003</v>
      </c>
    </row>
    <row r="53" spans="1:7" x14ac:dyDescent="0.3">
      <c r="A53" t="str">
        <f>' Project _Break'!A53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 x14ac:dyDescent="0.3">
      <c r="A54" t="str">
        <f>' Project _Break'!A54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 x14ac:dyDescent="0.3">
      <c r="A55" t="str">
        <f>' Project _Break'!A55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 x14ac:dyDescent="0.3">
      <c r="A56" t="str">
        <f>' Project _Break'!A56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3">
        <f t="shared" si="10"/>
        <v>0.52849609939323905</v>
      </c>
    </row>
    <row r="57" spans="1:7" x14ac:dyDescent="0.3">
      <c r="A57" t="str">
        <f>' Project _Break'!A57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 x14ac:dyDescent="0.3">
      <c r="A58" t="str">
        <f>' Project _Break'!A58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3">
        <f t="shared" si="10"/>
        <v>0.53150089401535605</v>
      </c>
    </row>
    <row r="59" spans="1:7" x14ac:dyDescent="0.3">
      <c r="A59" t="str">
        <f>' Project _Break'!A59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 x14ac:dyDescent="0.3">
      <c r="A60" t="str">
        <f>' Project _Break'!A60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 x14ac:dyDescent="0.3">
      <c r="A61" t="str">
        <f>' Project _Break'!A61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 x14ac:dyDescent="0.3">
      <c r="A62" t="str">
        <f>' Project _Break'!A62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3">
        <f t="shared" si="10"/>
        <v>0.62762080802746201</v>
      </c>
    </row>
    <row r="63" spans="1:7" x14ac:dyDescent="0.3">
      <c r="A63" t="str">
        <f>' Project _Break'!A63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 x14ac:dyDescent="0.3">
      <c r="A64" t="str">
        <f>' Project _Break'!A64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3">
        <f t="shared" si="10"/>
        <v>0.43635543840177599</v>
      </c>
    </row>
    <row r="65" spans="1:7" x14ac:dyDescent="0.3">
      <c r="A65" t="str">
        <f>' Project _Break'!A65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3">
        <f t="shared" si="10"/>
        <v>0.451270369721395</v>
      </c>
    </row>
    <row r="66" spans="1:7" x14ac:dyDescent="0.3">
      <c r="A66" t="str">
        <f>' Project _Break'!A66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2.0532407407407409E-2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 x14ac:dyDescent="0.3">
      <c r="A67" t="str">
        <f>' Project _Break'!A67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3">
        <f t="shared" si="15"/>
        <v>0.51755872288115901</v>
      </c>
    </row>
    <row r="68" spans="1:7" x14ac:dyDescent="0.3">
      <c r="A68" t="str">
        <f>' Project _Break'!A68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 x14ac:dyDescent="0.3">
      <c r="A69" t="str">
        <f>' Project _Break'!A69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3">
        <f t="shared" si="15"/>
        <v>0.45535862734013899</v>
      </c>
    </row>
    <row r="70" spans="1:7" x14ac:dyDescent="0.3">
      <c r="A70" t="str">
        <f>' Project _Break'!A70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 x14ac:dyDescent="0.3">
      <c r="A71" t="str">
        <f>' Project _Break'!A71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 x14ac:dyDescent="0.3">
      <c r="A72" t="str">
        <f>' Project _Break'!A72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 x14ac:dyDescent="0.3">
      <c r="A73" t="str">
        <f>' Project _Break'!A73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 x14ac:dyDescent="0.3">
      <c r="A74" t="str">
        <f>' Project _Break'!A74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 x14ac:dyDescent="0.3">
      <c r="A75" t="str">
        <f>' Project _Break'!A75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 x14ac:dyDescent="0.3">
      <c r="A76" t="str">
        <f>' Project _Break'!A76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3">
        <f t="shared" si="15"/>
        <v>0.51361161524500898</v>
      </c>
    </row>
    <row r="77" spans="1:7" x14ac:dyDescent="0.3">
      <c r="A77" t="str">
        <f>' Project _Break'!A77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 x14ac:dyDescent="0.3">
      <c r="A78" t="str">
        <f>' Project _Break'!A78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 x14ac:dyDescent="0.3">
      <c r="A79" t="str">
        <f>' Project _Break'!A79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 x14ac:dyDescent="0.3">
      <c r="A80" t="str">
        <f>' Project _Break'!A80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 x14ac:dyDescent="0.3">
      <c r="A81" t="str">
        <f>' Project _Break'!A81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 x14ac:dyDescent="0.3">
      <c r="A82" t="str">
        <f>' Project _Break'!A82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 x14ac:dyDescent="0.3">
      <c r="A83" t="str">
        <f>' Project _Break'!A83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 x14ac:dyDescent="0.3">
      <c r="A84" t="str">
        <f>' Project _Break'!A84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 x14ac:dyDescent="0.3">
      <c r="A85" t="str">
        <f>' Project _Break'!A85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3">
        <f t="shared" si="15"/>
        <v>0.55335578460387103</v>
      </c>
    </row>
    <row r="86" spans="1:7" x14ac:dyDescent="0.3">
      <c r="A86" t="str">
        <f>' Project _Break'!A86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3">
        <f t="shared" si="15"/>
        <v>0.611363636363636</v>
      </c>
    </row>
    <row r="87" spans="1:7" x14ac:dyDescent="0.3">
      <c r="A87" t="str">
        <f>' Project _Break'!A87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3">
        <f t="shared" si="15"/>
        <v>0.51217732689434703</v>
      </c>
    </row>
    <row r="88" spans="1:7" x14ac:dyDescent="0.3">
      <c r="A88" t="str">
        <f>' Project _Break'!A88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 x14ac:dyDescent="0.3">
      <c r="A89" t="str">
        <f>' Project _Break'!A89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 x14ac:dyDescent="0.3">
      <c r="A90" t="str">
        <f>' Project _Break'!A90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 x14ac:dyDescent="0.3">
      <c r="A91" t="str">
        <f>' Project _Break'!A91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3">
        <f t="shared" si="15"/>
        <v>0.61021533340268397</v>
      </c>
    </row>
    <row r="92" spans="1:7" x14ac:dyDescent="0.3">
      <c r="A92" t="str">
        <f>' Project _Break'!A92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 x14ac:dyDescent="0.3">
      <c r="A93" t="str">
        <f>' Project _Break'!A93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 x14ac:dyDescent="0.3">
      <c r="A94" t="str">
        <f>' Project _Break'!A94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 x14ac:dyDescent="0.3">
      <c r="A95" t="str">
        <f>' Project _Break'!A95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3">
        <f t="shared" si="15"/>
        <v>0</v>
      </c>
    </row>
    <row r="96" spans="1:7" x14ac:dyDescent="0.3">
      <c r="A96" t="str">
        <f>' Project _Break'!A96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 x14ac:dyDescent="0.3">
      <c r="A97" t="str">
        <f>' Project _Break'!A97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 x14ac:dyDescent="0.3">
      <c r="A98" t="str">
        <f>' Project _Break'!A98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 x14ac:dyDescent="0.3">
      <c r="A99" t="str">
        <f>' Project _Break'!A99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 x14ac:dyDescent="0.3">
      <c r="A100" t="str">
        <f>' Project _Break'!A100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 x14ac:dyDescent="0.3">
      <c r="A101" t="str">
        <f>' Project _Break'!A101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 x14ac:dyDescent="0.3">
      <c r="A102" t="str">
        <f>' Project _Break'!A102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3">
        <f t="shared" si="21"/>
        <v>0.41310286360211002</v>
      </c>
    </row>
    <row r="103" spans="1:7" x14ac:dyDescent="0.3">
      <c r="A103" t="str">
        <f>' Project _Break'!A103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 x14ac:dyDescent="0.3">
      <c r="A104" t="str">
        <f>' Project _Break'!A104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3">
        <f t="shared" si="21"/>
        <v>0.52390558805729304</v>
      </c>
    </row>
    <row r="105" spans="1:7" x14ac:dyDescent="0.3">
      <c r="A105" t="str">
        <f>' Project _Break'!A105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 x14ac:dyDescent="0.3">
      <c r="A106" t="str">
        <f>' Project _Break'!A106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3">
        <f t="shared" si="21"/>
        <v>0.55517503805174995</v>
      </c>
    </row>
    <row r="107" spans="1:7" x14ac:dyDescent="0.3">
      <c r="A107" t="str">
        <f>' Project _Break'!A107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 x14ac:dyDescent="0.3">
      <c r="A108" t="str">
        <f>' Project _Break'!A108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 x14ac:dyDescent="0.3">
      <c r="A109" t="str">
        <f>' Project _Break'!A109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 x14ac:dyDescent="0.3">
      <c r="A110" t="str">
        <f>' Project _Break'!A110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3">
        <f t="shared" si="21"/>
        <v>0.55305265350039901</v>
      </c>
    </row>
    <row r="111" spans="1:7" x14ac:dyDescent="0.3">
      <c r="A111" t="str">
        <f>' Project _Break'!A111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 x14ac:dyDescent="0.3">
      <c r="A112" t="str">
        <f>' Project _Break'!A112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 x14ac:dyDescent="0.3">
      <c r="A113" t="str">
        <f>' Project _Break'!A113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 x14ac:dyDescent="0.3">
      <c r="A114" t="str">
        <f>' Project _Break'!A114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 x14ac:dyDescent="0.3">
      <c r="A115" t="str">
        <f>' Project _Break'!A115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3">
        <f t="shared" si="21"/>
        <v>0.58165871362322696</v>
      </c>
    </row>
    <row r="116" spans="1:7" x14ac:dyDescent="0.3">
      <c r="A116" t="str">
        <f>' Project _Break'!A116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 x14ac:dyDescent="0.3">
      <c r="A117" t="str">
        <f>' Project _Break'!A117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 x14ac:dyDescent="0.3">
      <c r="A118" t="str">
        <f>' Project _Break'!A118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 x14ac:dyDescent="0.3">
      <c r="A119" t="str">
        <f>' Project _Break'!A119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3">
        <f t="shared" si="21"/>
        <v>0.53238796723342696</v>
      </c>
    </row>
    <row r="120" spans="1:7" x14ac:dyDescent="0.3">
      <c r="A120" t="str">
        <f>' Project _Break'!A120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 x14ac:dyDescent="0.3">
      <c r="A121" t="str">
        <f>' Project _Break'!A121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3">
        <f t="shared" si="21"/>
        <v>0.54633099407235797</v>
      </c>
    </row>
    <row r="122" spans="1:7" x14ac:dyDescent="0.3">
      <c r="A122" t="str">
        <f>' Project _Break'!A122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 x14ac:dyDescent="0.3">
      <c r="A123" t="str">
        <f>' Project _Break'!A123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 x14ac:dyDescent="0.3">
      <c r="A124" t="str">
        <f>' Project _Break'!A124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 x14ac:dyDescent="0.3">
      <c r="A125" t="str">
        <f>' Project _Break'!A125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 x14ac:dyDescent="0.3">
      <c r="A126" t="str">
        <f>' Project _Break'!A126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 x14ac:dyDescent="0.3">
      <c r="A127" t="str">
        <f>' Project _Break'!A127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 x14ac:dyDescent="0.3">
      <c r="A128" t="str">
        <f>' Project _Break'!A128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3">
        <f t="shared" si="21"/>
        <v>0.43796610169491501</v>
      </c>
    </row>
    <row r="129" spans="1:7" x14ac:dyDescent="0.3">
      <c r="A129" t="str">
        <f>' Project _Break'!A129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3">
        <f t="shared" si="21"/>
        <v>0.55581995508931903</v>
      </c>
    </row>
    <row r="130" spans="1:7" x14ac:dyDescent="0.3">
      <c r="A130" t="str">
        <f>' Project _Break'!A130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 x14ac:dyDescent="0.3">
      <c r="A131" t="str">
        <f>' Project _Break'!A131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 x14ac:dyDescent="0.3">
      <c r="A132" t="str">
        <f>' Project _Break'!A132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 x14ac:dyDescent="0.3">
      <c r="A133" t="str">
        <f>' Project _Break'!A133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3">
        <f t="shared" si="26"/>
        <v>0.29689998979140397</v>
      </c>
    </row>
    <row r="134" spans="1:7" x14ac:dyDescent="0.3">
      <c r="A134" t="str">
        <f>' Project _Break'!A134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 x14ac:dyDescent="0.3">
      <c r="A135" t="str">
        <f>' Project _Break'!A135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 x14ac:dyDescent="0.3">
      <c r="A136" t="str">
        <f>' Project _Break'!A136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3">
        <f t="shared" si="26"/>
        <v>0.472308115165258</v>
      </c>
    </row>
    <row r="137" spans="1:7" x14ac:dyDescent="0.3">
      <c r="A137" t="str">
        <f>' Project _Break'!A137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3">
        <f t="shared" si="26"/>
        <v>0.51110729613733896</v>
      </c>
    </row>
    <row r="138" spans="1:7" x14ac:dyDescent="0.3">
      <c r="A138" t="str">
        <f>' Project _Break'!A138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 x14ac:dyDescent="0.3">
      <c r="A139" t="str">
        <f>' Project _Break'!A139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 x14ac:dyDescent="0.3">
      <c r="A140" t="str">
        <f>' Project _Break'!A140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 x14ac:dyDescent="0.3">
      <c r="A141" t="str">
        <f>' Project _Break'!A141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 x14ac:dyDescent="0.3">
      <c r="A142" t="str">
        <f>' Project _Break'!A142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 x14ac:dyDescent="0.3">
      <c r="A143" t="str">
        <f>' Project _Break'!A143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3">
        <f t="shared" si="26"/>
        <v>0.58462473412336702</v>
      </c>
    </row>
    <row r="144" spans="1:7" x14ac:dyDescent="0.3">
      <c r="A144" t="str">
        <f>' Project _Break'!A144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3">
        <f t="shared" si="26"/>
        <v>0.31685816164817698</v>
      </c>
    </row>
    <row r="145" spans="1:7" x14ac:dyDescent="0.3">
      <c r="A145" t="str">
        <f>' Project _Break'!A145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3">
        <f t="shared" si="26"/>
        <v>0.56375322197301903</v>
      </c>
    </row>
    <row r="146" spans="1:7" x14ac:dyDescent="0.3">
      <c r="A146" t="str">
        <f>' Project _Break'!A146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 x14ac:dyDescent="0.3">
      <c r="A147" t="str">
        <f>' Project _Break'!A147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 x14ac:dyDescent="0.3">
      <c r="A148" t="str">
        <f>' Project _Break'!A148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 x14ac:dyDescent="0.3">
      <c r="A149" t="str">
        <f>' Project _Break'!A149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3">
        <f t="shared" si="26"/>
        <v>0.60261183662128404</v>
      </c>
    </row>
    <row r="150" spans="1:7" x14ac:dyDescent="0.3">
      <c r="A150" t="str">
        <f>' Project _Break'!A150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3">
        <f t="shared" si="26"/>
        <v>0.49813523593319298</v>
      </c>
    </row>
  </sheetData>
  <mergeCells count="3">
    <mergeCell ref="K4:L4"/>
    <mergeCell ref="K2:L3"/>
    <mergeCell ref="J1:U1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defaultSize="0" autoPict="0" macro="[0]!Spinner1_Code">
                <anchor moveWithCells="1" sizeWithCells="1">
                  <from>
                    <xdr:col>11</xdr:col>
                    <xdr:colOff>304800</xdr:colOff>
                    <xdr:row>1</xdr:row>
                    <xdr:rowOff>22860</xdr:rowOff>
                  </from>
                  <to>
                    <xdr:col>11</xdr:col>
                    <xdr:colOff>533400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 Project _Break</vt:lpstr>
      <vt:lpstr>Project_Efficiency</vt:lpstr>
      <vt:lpstr>Project_OverAll Performance</vt:lpstr>
      <vt:lpstr>Project_Summary And 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ng356164@gmail.com</cp:lastModifiedBy>
  <dcterms:created xsi:type="dcterms:W3CDTF">2022-05-04T01:32:35Z</dcterms:created>
  <dcterms:modified xsi:type="dcterms:W3CDTF">2026-02-13T09:43:25Z</dcterms:modified>
</cp:coreProperties>
</file>